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lbag\Desktop\Rúbricas MU Inteligencia Artificial\00_ACTIVIDADES 1Q\muinar05_tecnicas_aprendizaje_automatico\"/>
    </mc:Choice>
  </mc:AlternateContent>
  <xr:revisionPtr revIDLastSave="0" documentId="13_ncr:101_{A919333B-476B-4C32-80AD-CD1B832393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5" i="1" l="1"/>
  <c r="H22" i="1" l="1"/>
  <c r="H34" i="1" l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</calcChain>
</file>

<file path=xl/sharedStrings.xml><?xml version="1.0" encoding="utf-8"?>
<sst xmlns="http://schemas.openxmlformats.org/spreadsheetml/2006/main" count="172" uniqueCount="63">
  <si>
    <t>CRITERIOS</t>
  </si>
  <si>
    <t>Niveles (Texto de realimentación / Calificación)</t>
  </si>
  <si>
    <t>Comentarios (opcional)</t>
  </si>
  <si>
    <t>E (mínimo)</t>
  </si>
  <si>
    <t>C</t>
  </si>
  <si>
    <t>B</t>
  </si>
  <si>
    <t>A (máximo)</t>
  </si>
  <si>
    <t>Fichero .ipynp</t>
  </si>
  <si>
    <t>No entrega el fichero</t>
  </si>
  <si>
    <t>Entrega el fichero sin el código debidamente ejecutado</t>
  </si>
  <si>
    <t>Entrega el fichero con las celdas debidamente ejecutadas</t>
  </si>
  <si>
    <t>Calidad de código y profundidad de las respuestas</t>
  </si>
  <si>
    <t>Respuestas justas y básicas</t>
  </si>
  <si>
    <t>Medio bajo. Explica pero no se extiende en demasia</t>
  </si>
  <si>
    <t>Presta atención a las respuestas pero no trabaja la calidad final del entregable</t>
  </si>
  <si>
    <t>Excepcional. Hace mucho más de lo pedido</t>
  </si>
  <si>
    <t>Uso de IA generativa (inclusión de norma de uso, uso no declarado, etc.)</t>
  </si>
  <si>
    <t>Evidencia clara de uso no declarado o inapropiado de IA.</t>
  </si>
  <si>
    <t>Uso de IA declarado pero sin justificación o con uso excesivo.</t>
  </si>
  <si>
    <t>Uso de IA declarado, pero con áreas donde la contribución propia es limitada.</t>
  </si>
  <si>
    <t>Uso de IA declarado, justificado y ético, potenciando el trabajo propio.</t>
  </si>
  <si>
    <t>1. Exploratory Data Analysis (2 puntos)</t>
  </si>
  <si>
    <t>cargar el dataset</t>
  </si>
  <si>
    <t>No lo ha hecho</t>
  </si>
  <si>
    <t>Contestación muy básica</t>
  </si>
  <si>
    <t>Contestación correcta</t>
  </si>
  <si>
    <t>Contestación correcta y explicada</t>
  </si>
  <si>
    <t>¿cuántas instancias tiene el dataset?</t>
  </si>
  <si>
    <t xml:space="preserve">¿cuál es el tipo de datos de cada una de las columnas?
</t>
  </si>
  <si>
    <t>¿cuántas columnas categóricas hay?¿y cuántas continuas?</t>
  </si>
  <si>
    <t>¿existen valores nulos en el dataset?</t>
  </si>
  <si>
    <t>¿cuál es la variable respuesta?¿de qué tipo es?</t>
  </si>
  <si>
    <t> Si te fijas en los estadísticos del dataset, ¿cómo es la distribución de las variables, CO, NOx y NO2?</t>
  </si>
  <si>
    <t>¿Estas variables muestran alguna distribución especial?¿Tienen datos faltantes?¿y datos anómalos?</t>
  </si>
  <si>
    <t> ¿cómo son las correlaciones entre las variables del dataset?</t>
  </si>
  <si>
    <t>¿qué tres variables son las más correlacionadas con la variable objetivo?</t>
  </si>
  <si>
    <t>¿existe alguna variable que no tenga correlación?</t>
  </si>
  <si>
    <t>¿qué suposiciones se pueden hacer sobre los datos?¿qué conclusiones extraes para implementar el modelo predictivo?</t>
  </si>
  <si>
    <t>separar datos de entrenamiento y test</t>
  </si>
  <si>
    <t>escoger la variable que a partir del EDA realizado, consideres que mejor va a realizar la predicción</t>
  </si>
  <si>
    <t>entrena el modelo con los datos de entrenamiento</t>
  </si>
  <si>
    <t>¿cuáles son los valores aprendidos por el modelo para los parámetros?</t>
  </si>
  <si>
    <t>realiza las predicciones para el conjunto de datos de test</t>
  </si>
  <si>
    <t>Ahora es necesario evaluar el modelo. ¿Qué métrica es mejor utilizar en este caso?</t>
  </si>
  <si>
    <t>¿Qué error tiene el modelo? Explícalo.</t>
  </si>
  <si>
    <t>Ahora debes entrenar un segundo modelo que haga uso de una regresión lineal múltiple con todas las variables del dataset. Después de entrenar, realiza las predicciones para este segundo modelo.</t>
  </si>
  <si>
    <t>¿Qué error tiene este modelo?¿Es mejor o peor que el anterior?</t>
  </si>
  <si>
    <t>Entrena un modelo de árboles de decisión</t>
  </si>
  <si>
    <t>Calcula MAE, R2 y RMSLE</t>
  </si>
  <si>
    <t>¿Existe overfitting?</t>
  </si>
  <si>
    <t>5. Investigación (2 punto).</t>
  </si>
  <si>
    <t>Artículo presentado</t>
  </si>
  <si>
    <t>No aporta respuesta o bien ésta es completamente incorrecta</t>
  </si>
  <si>
    <t>La explicación demuestra comprensión de la respuesta aportada, aunque se presenta con carencias leves</t>
  </si>
  <si>
    <t>La explicación demuestra comprensión de la respuesta aportada, y se presenta de forma clara y concisa</t>
  </si>
  <si>
    <t>Explicación del artículo</t>
  </si>
  <si>
    <t>3.Regresión con árboles de decisión (3 puntos).</t>
  </si>
  <si>
    <t>2. Regresión lineal (3 puntos).</t>
  </si>
  <si>
    <t>¿Este modelo es mejor, peor o igual que los de regresión lineal simple y múltiple? Comparativa final de modelos</t>
  </si>
  <si>
    <t>Indica qué son cada uno de estos hiperparámetros
* splitter * criterion
* max_depth
* min_samples_split
* min_samples_leaf
* max_features
Parámetro min_impurity_decrease</t>
  </si>
  <si>
    <t>Explicación de los errores cometidos por el modelo</t>
  </si>
  <si>
    <t>Entrega (1 punto)</t>
  </si>
  <si>
    <t>ESTA OPCIÓN NO ES SELECCIONABLE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</si>
</sst>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9DC3E6"/>
      </patternFill>
    </fill>
    <fill>
      <patternFill patternType="solid">
        <fgColor rgb="FF333F50"/>
        <bgColor rgb="FF333399"/>
      </patternFill>
    </fill>
    <fill>
      <patternFill patternType="solid">
        <fgColor rgb="FF5B9BD5"/>
        <bgColor rgb="FF808080"/>
      </patternFill>
    </fill>
    <fill>
      <patternFill patternType="solid">
        <fgColor rgb="FF9DC3E6"/>
        <bgColor rgb="FFA5A5A5"/>
      </patternFill>
    </fill>
    <fill>
      <patternFill patternType="solid">
        <fgColor rgb="FFE7E6E6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4">
    <xf numFmtId="0" fontId="0" fillId="0" borderId="0"/>
    <xf numFmtId="0" fontId="1" fillId="2" borderId="0" applyBorder="0" applyProtection="0"/>
    <xf numFmtId="0" fontId="1" fillId="4" borderId="0" applyBorder="0" applyProtection="0"/>
    <xf numFmtId="0" fontId="3" fillId="5" borderId="0" applyBorder="0" applyProtection="0"/>
  </cellStyleXfs>
  <cellXfs count="31">
    <xf numFmtId="0" fontId="0" fillId="0" borderId="0" xfId="0"/>
    <xf numFmtId="0" fontId="2" fillId="4" borderId="0" xfId="2" applyFont="1" applyBorder="1" applyAlignment="1" applyProtection="1">
      <alignment horizontal="center"/>
    </xf>
    <xf numFmtId="0" fontId="2" fillId="5" borderId="0" xfId="3" applyFont="1" applyBorder="1" applyAlignment="1" applyProtection="1">
      <alignment horizontal="center"/>
    </xf>
    <xf numFmtId="0" fontId="4" fillId="6" borderId="9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2" fontId="4" fillId="7" borderId="9" xfId="0" applyNumberFormat="1" applyFont="1" applyFill="1" applyBorder="1" applyAlignment="1">
      <alignment vertical="center" wrapText="1"/>
    </xf>
    <xf numFmtId="2" fontId="4" fillId="8" borderId="9" xfId="0" applyNumberFormat="1" applyFont="1" applyFill="1" applyBorder="1" applyAlignment="1">
      <alignment vertical="center" wrapText="1"/>
    </xf>
    <xf numFmtId="0" fontId="4" fillId="6" borderId="13" xfId="0" applyFont="1" applyFill="1" applyBorder="1" applyAlignment="1">
      <alignment vertical="center" wrapText="1"/>
    </xf>
    <xf numFmtId="164" fontId="4" fillId="7" borderId="9" xfId="0" applyNumberFormat="1" applyFont="1" applyFill="1" applyBorder="1" applyAlignment="1">
      <alignment vertical="center" wrapText="1"/>
    </xf>
    <xf numFmtId="0" fontId="5" fillId="7" borderId="9" xfId="0" applyFont="1" applyFill="1" applyBorder="1" applyAlignment="1">
      <alignment vertical="center" wrapText="1"/>
    </xf>
    <xf numFmtId="0" fontId="5" fillId="7" borderId="15" xfId="0" applyFont="1" applyFill="1" applyBorder="1" applyAlignment="1">
      <alignment vertical="center" wrapText="1"/>
    </xf>
    <xf numFmtId="0" fontId="4" fillId="7" borderId="16" xfId="0" applyFont="1" applyFill="1" applyBorder="1" applyAlignment="1">
      <alignment vertical="center" wrapText="1"/>
    </xf>
    <xf numFmtId="0" fontId="0" fillId="0" borderId="9" xfId="0" applyBorder="1"/>
    <xf numFmtId="2" fontId="0" fillId="0" borderId="0" xfId="0" applyNumberFormat="1" applyAlignment="1">
      <alignment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19" xfId="0" applyFont="1" applyFill="1" applyBorder="1" applyAlignment="1">
      <alignment vertical="center" wrapText="1"/>
    </xf>
    <xf numFmtId="0" fontId="4" fillId="6" borderId="0" xfId="0" applyFont="1" applyFill="1" applyAlignment="1">
      <alignment vertical="center" wrapText="1"/>
    </xf>
    <xf numFmtId="0" fontId="2" fillId="3" borderId="1" xfId="1" applyFont="1" applyFill="1" applyBorder="1" applyAlignment="1" applyProtection="1">
      <alignment horizontal="center" vertical="center"/>
    </xf>
    <xf numFmtId="0" fontId="2" fillId="3" borderId="4" xfId="1" applyFont="1" applyFill="1" applyBorder="1" applyAlignment="1" applyProtection="1">
      <alignment horizontal="center" vertical="center"/>
    </xf>
    <xf numFmtId="0" fontId="2" fillId="4" borderId="2" xfId="2" applyFont="1" applyBorder="1" applyAlignment="1" applyProtection="1">
      <alignment horizontal="center"/>
    </xf>
    <xf numFmtId="0" fontId="2" fillId="5" borderId="3" xfId="3" applyFont="1" applyBorder="1" applyAlignment="1" applyProtection="1">
      <alignment horizontal="center" vertical="center"/>
    </xf>
    <xf numFmtId="0" fontId="2" fillId="5" borderId="7" xfId="3" applyFont="1" applyBorder="1" applyAlignment="1" applyProtection="1">
      <alignment horizontal="center" vertical="center"/>
    </xf>
    <xf numFmtId="0" fontId="2" fillId="5" borderId="5" xfId="3" applyFont="1" applyBorder="1" applyAlignment="1" applyProtection="1">
      <alignment horizontal="center"/>
    </xf>
    <xf numFmtId="0" fontId="2" fillId="5" borderId="6" xfId="3" applyFont="1" applyBorder="1" applyAlignment="1" applyProtection="1">
      <alignment horizontal="center"/>
    </xf>
  </cellXfs>
  <cellStyles count="4">
    <cellStyle name="Excel Built-in 60% - Accent1" xfId="3" xr:uid="{00000000-0005-0000-0000-000000000000}"/>
    <cellStyle name="Excel Built-in Accent1" xfId="2" xr:uid="{00000000-0005-0000-0000-000001000000}"/>
    <cellStyle name="Excel Built-in Accent3" xfId="1" xr:uid="{00000000-0005-0000-0000-000002000000}"/>
    <cellStyle name="Normal" xfId="0" builtinId="0"/>
  </cellStyles>
  <dxfs count="26"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sz val="11"/>
        <color rgb="FF000000"/>
        <name val="Calibri"/>
      </font>
      <alignment horizontal="general" vertical="bottom" textRotation="0" wrapText="0" indent="0" shrinkToFit="0"/>
    </dxf>
    <dxf>
      <font>
        <color rgb="FFE7E6E6"/>
      </font>
    </dxf>
    <dxf>
      <font>
        <b/>
        <i val="0"/>
      </font>
      <fill>
        <patternFill>
          <bgColor rgb="FFC5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759960</xdr:rowOff>
    </xdr:from>
    <xdr:to>
      <xdr:col>10</xdr:col>
      <xdr:colOff>49320</xdr:colOff>
      <xdr:row>7</xdr:row>
      <xdr:rowOff>9120</xdr:rowOff>
    </xdr:to>
    <xdr:pic>
      <xdr:nvPicPr>
        <xdr:cNvPr id="2" name="Entrada de lápiz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7189335"/>
          <a:ext cx="4932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6</xdr:row>
      <xdr:rowOff>759960</xdr:rowOff>
    </xdr:from>
    <xdr:to>
      <xdr:col>10</xdr:col>
      <xdr:colOff>44280</xdr:colOff>
      <xdr:row>6</xdr:row>
      <xdr:rowOff>771120</xdr:rowOff>
    </xdr:to>
    <xdr:pic>
      <xdr:nvPicPr>
        <xdr:cNvPr id="3" name="Entrada de lápiz 2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718933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759600</xdr:rowOff>
    </xdr:from>
    <xdr:to>
      <xdr:col>10</xdr:col>
      <xdr:colOff>44280</xdr:colOff>
      <xdr:row>7</xdr:row>
      <xdr:rowOff>770760</xdr:rowOff>
    </xdr:to>
    <xdr:pic>
      <xdr:nvPicPr>
        <xdr:cNvPr id="4" name="Entrada de lápiz 2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808432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7</xdr:row>
      <xdr:rowOff>759600</xdr:rowOff>
    </xdr:from>
    <xdr:to>
      <xdr:col>10</xdr:col>
      <xdr:colOff>44280</xdr:colOff>
      <xdr:row>7</xdr:row>
      <xdr:rowOff>770760</xdr:rowOff>
    </xdr:to>
    <xdr:pic>
      <xdr:nvPicPr>
        <xdr:cNvPr id="5" name="Entrada de lápiz 2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808432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759960</xdr:rowOff>
    </xdr:from>
    <xdr:to>
      <xdr:col>10</xdr:col>
      <xdr:colOff>44280</xdr:colOff>
      <xdr:row>8</xdr:row>
      <xdr:rowOff>771120</xdr:rowOff>
    </xdr:to>
    <xdr:pic>
      <xdr:nvPicPr>
        <xdr:cNvPr id="6" name="Entrada de lápiz 2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90752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8</xdr:row>
      <xdr:rowOff>759960</xdr:rowOff>
    </xdr:from>
    <xdr:to>
      <xdr:col>10</xdr:col>
      <xdr:colOff>44280</xdr:colOff>
      <xdr:row>8</xdr:row>
      <xdr:rowOff>771120</xdr:rowOff>
    </xdr:to>
    <xdr:pic>
      <xdr:nvPicPr>
        <xdr:cNvPr id="7" name="Entrada de lápiz 2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90752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759600</xdr:rowOff>
    </xdr:from>
    <xdr:to>
      <xdr:col>10</xdr:col>
      <xdr:colOff>44280</xdr:colOff>
      <xdr:row>9</xdr:row>
      <xdr:rowOff>770760</xdr:rowOff>
    </xdr:to>
    <xdr:pic>
      <xdr:nvPicPr>
        <xdr:cNvPr id="8" name="Entrada de lápiz 2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00845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9</xdr:row>
      <xdr:rowOff>759600</xdr:rowOff>
    </xdr:from>
    <xdr:to>
      <xdr:col>10</xdr:col>
      <xdr:colOff>44280</xdr:colOff>
      <xdr:row>9</xdr:row>
      <xdr:rowOff>770760</xdr:rowOff>
    </xdr:to>
    <xdr:pic>
      <xdr:nvPicPr>
        <xdr:cNvPr id="9" name="Entrada de lápiz 2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00845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759960</xdr:rowOff>
    </xdr:from>
    <xdr:to>
      <xdr:col>10</xdr:col>
      <xdr:colOff>44280</xdr:colOff>
      <xdr:row>10</xdr:row>
      <xdr:rowOff>771120</xdr:rowOff>
    </xdr:to>
    <xdr:pic>
      <xdr:nvPicPr>
        <xdr:cNvPr id="10" name="Entrada de lápiz 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116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10</xdr:row>
      <xdr:rowOff>759960</xdr:rowOff>
    </xdr:from>
    <xdr:to>
      <xdr:col>10</xdr:col>
      <xdr:colOff>44280</xdr:colOff>
      <xdr:row>10</xdr:row>
      <xdr:rowOff>771120</xdr:rowOff>
    </xdr:to>
    <xdr:pic>
      <xdr:nvPicPr>
        <xdr:cNvPr id="11" name="Entrada de lápiz 2">
          <a:extLst>
            <a:ext uri="{FF2B5EF4-FFF2-40B4-BE49-F238E27FC236}">
              <a16:creationId xmlns:a16="http://schemas.microsoft.com/office/drawing/2014/main" id="{00000000-0008-0000-0000-00000E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116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759600</xdr:rowOff>
    </xdr:from>
    <xdr:to>
      <xdr:col>10</xdr:col>
      <xdr:colOff>44280</xdr:colOff>
      <xdr:row>11</xdr:row>
      <xdr:rowOff>770760</xdr:rowOff>
    </xdr:to>
    <xdr:pic>
      <xdr:nvPicPr>
        <xdr:cNvPr id="12" name="Entrada de lápiz 2">
          <a:extLst>
            <a:ext uri="{FF2B5EF4-FFF2-40B4-BE49-F238E27FC236}">
              <a16:creationId xmlns:a16="http://schemas.microsoft.com/office/drawing/2014/main" id="{00000000-0008-0000-0000-00000F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24467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11</xdr:row>
      <xdr:rowOff>759600</xdr:rowOff>
    </xdr:from>
    <xdr:to>
      <xdr:col>10</xdr:col>
      <xdr:colOff>44280</xdr:colOff>
      <xdr:row>11</xdr:row>
      <xdr:rowOff>770760</xdr:rowOff>
    </xdr:to>
    <xdr:pic>
      <xdr:nvPicPr>
        <xdr:cNvPr id="13" name="Entrada de lápiz 2">
          <a:extLst>
            <a:ext uri="{FF2B5EF4-FFF2-40B4-BE49-F238E27FC236}">
              <a16:creationId xmlns:a16="http://schemas.microsoft.com/office/drawing/2014/main" id="{00000000-0008-0000-0000-000010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244677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759960</xdr:rowOff>
    </xdr:from>
    <xdr:to>
      <xdr:col>10</xdr:col>
      <xdr:colOff>44280</xdr:colOff>
      <xdr:row>12</xdr:row>
      <xdr:rowOff>771120</xdr:rowOff>
    </xdr:to>
    <xdr:pic>
      <xdr:nvPicPr>
        <xdr:cNvPr id="14" name="Entrada de lápiz 2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35329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12</xdr:row>
      <xdr:rowOff>759960</xdr:rowOff>
    </xdr:from>
    <xdr:to>
      <xdr:col>10</xdr:col>
      <xdr:colOff>44280</xdr:colOff>
      <xdr:row>12</xdr:row>
      <xdr:rowOff>771120</xdr:rowOff>
    </xdr:to>
    <xdr:pic>
      <xdr:nvPicPr>
        <xdr:cNvPr id="15" name="Entrada de lápiz 2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3532985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360</xdr:rowOff>
    </xdr:from>
    <xdr:to>
      <xdr:col>10</xdr:col>
      <xdr:colOff>44280</xdr:colOff>
      <xdr:row>13</xdr:row>
      <xdr:rowOff>11520</xdr:rowOff>
    </xdr:to>
    <xdr:pic>
      <xdr:nvPicPr>
        <xdr:cNvPr id="16" name="Entrada de lápiz 2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42116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360</xdr:rowOff>
    </xdr:from>
    <xdr:to>
      <xdr:col>10</xdr:col>
      <xdr:colOff>44280</xdr:colOff>
      <xdr:row>13</xdr:row>
      <xdr:rowOff>11520</xdr:rowOff>
    </xdr:to>
    <xdr:pic>
      <xdr:nvPicPr>
        <xdr:cNvPr id="17" name="Entrada de lápiz 2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42116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8" name="Entrada de lápiz 2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497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13</xdr:row>
      <xdr:rowOff>759960</xdr:rowOff>
    </xdr:from>
    <xdr:to>
      <xdr:col>10</xdr:col>
      <xdr:colOff>44280</xdr:colOff>
      <xdr:row>13</xdr:row>
      <xdr:rowOff>771120</xdr:rowOff>
    </xdr:to>
    <xdr:pic>
      <xdr:nvPicPr>
        <xdr:cNvPr id="19" name="Entrada de lápiz 2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497126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0" name="Entrada de lápiz 2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6323810"/>
          <a:ext cx="44280" cy="111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10</xdr:col>
      <xdr:colOff>0</xdr:colOff>
      <xdr:row>14</xdr:row>
      <xdr:rowOff>759960</xdr:rowOff>
    </xdr:from>
    <xdr:to>
      <xdr:col>10</xdr:col>
      <xdr:colOff>44280</xdr:colOff>
      <xdr:row>14</xdr:row>
      <xdr:rowOff>771120</xdr:rowOff>
    </xdr:to>
    <xdr:pic>
      <xdr:nvPicPr>
        <xdr:cNvPr id="21" name="Entrada de lápiz 2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907000" y="16323810"/>
          <a:ext cx="44280" cy="11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zoomScale="85" zoomScaleNormal="85" workbookViewId="0">
      <selection activeCell="G12" sqref="G12"/>
    </sheetView>
  </sheetViews>
  <sheetFormatPr baseColWidth="10" defaultColWidth="9" defaultRowHeight="14.4" x14ac:dyDescent="0.3"/>
  <cols>
    <col min="1" max="1" width="24.5546875" customWidth="1"/>
    <col min="2" max="2" width="49.6640625" customWidth="1"/>
    <col min="3" max="3" width="36" customWidth="1"/>
    <col min="4" max="4" width="10.109375" customWidth="1"/>
    <col min="5" max="5" width="36" customWidth="1"/>
    <col min="6" max="6" width="14.44140625" customWidth="1"/>
    <col min="7" max="7" width="36" customWidth="1"/>
    <col min="8" max="8" width="11.5546875" customWidth="1"/>
    <col min="9" max="9" width="37" customWidth="1"/>
    <col min="10" max="10" width="13.109375" customWidth="1"/>
    <col min="11" max="11" width="61.88671875" customWidth="1"/>
  </cols>
  <sheetData>
    <row r="1" spans="1:11" ht="13.65" customHeight="1" thickBot="1" x14ac:dyDescent="0.35">
      <c r="A1" s="24" t="s">
        <v>0</v>
      </c>
      <c r="B1" s="24"/>
      <c r="C1" s="26" t="s">
        <v>1</v>
      </c>
      <c r="D1" s="26"/>
      <c r="E1" s="26"/>
      <c r="F1" s="26"/>
      <c r="G1" s="26"/>
      <c r="H1" s="1"/>
      <c r="I1" s="1"/>
      <c r="J1" s="1"/>
      <c r="K1" s="27" t="s">
        <v>2</v>
      </c>
    </row>
    <row r="2" spans="1:11" ht="44.25" customHeight="1" x14ac:dyDescent="0.3">
      <c r="A2" s="25"/>
      <c r="B2" s="25"/>
      <c r="C2" s="29" t="s">
        <v>3</v>
      </c>
      <c r="D2" s="30"/>
      <c r="E2" s="29" t="s">
        <v>4</v>
      </c>
      <c r="F2" s="30"/>
      <c r="G2" s="29" t="s">
        <v>5</v>
      </c>
      <c r="H2" s="30"/>
      <c r="I2" s="2" t="s">
        <v>6</v>
      </c>
      <c r="J2" s="2"/>
      <c r="K2" s="28"/>
    </row>
    <row r="3" spans="1:11" ht="23.25" customHeight="1" x14ac:dyDescent="0.3">
      <c r="A3" s="14" t="s">
        <v>61</v>
      </c>
      <c r="B3" s="3" t="s">
        <v>7</v>
      </c>
      <c r="C3" s="4" t="s">
        <v>8</v>
      </c>
      <c r="D3" s="5">
        <v>-3</v>
      </c>
      <c r="E3" s="4" t="s">
        <v>62</v>
      </c>
      <c r="F3" s="4"/>
      <c r="G3" s="4" t="s">
        <v>9</v>
      </c>
      <c r="H3" s="4">
        <v>-0.5</v>
      </c>
      <c r="I3" s="4" t="s">
        <v>10</v>
      </c>
      <c r="J3" s="4">
        <v>0</v>
      </c>
      <c r="K3" s="4"/>
    </row>
    <row r="4" spans="1:11" ht="27.6" x14ac:dyDescent="0.3">
      <c r="A4" s="15"/>
      <c r="B4" s="3" t="s">
        <v>11</v>
      </c>
      <c r="C4" s="4" t="s">
        <v>12</v>
      </c>
      <c r="D4" s="6">
        <v>0</v>
      </c>
      <c r="E4" s="4" t="s">
        <v>13</v>
      </c>
      <c r="F4" s="6">
        <v>0.5</v>
      </c>
      <c r="G4" s="4" t="s">
        <v>14</v>
      </c>
      <c r="H4" s="6">
        <v>0.75</v>
      </c>
      <c r="I4" s="4" t="s">
        <v>15</v>
      </c>
      <c r="J4" s="6">
        <v>1</v>
      </c>
      <c r="K4" s="4"/>
    </row>
    <row r="5" spans="1:11" ht="28.2" thickBot="1" x14ac:dyDescent="0.35">
      <c r="A5" s="16"/>
      <c r="B5" s="3" t="s">
        <v>16</v>
      </c>
      <c r="C5" s="4" t="s">
        <v>17</v>
      </c>
      <c r="D5" s="6">
        <v>-10</v>
      </c>
      <c r="E5" s="4" t="s">
        <v>18</v>
      </c>
      <c r="F5" s="6">
        <v>-5</v>
      </c>
      <c r="G5" s="4" t="s">
        <v>19</v>
      </c>
      <c r="H5" s="6">
        <v>-2</v>
      </c>
      <c r="I5" s="4" t="s">
        <v>20</v>
      </c>
      <c r="J5" s="6">
        <v>0</v>
      </c>
      <c r="K5" s="4"/>
    </row>
    <row r="6" spans="1:11" x14ac:dyDescent="0.3">
      <c r="A6" s="17" t="s">
        <v>21</v>
      </c>
      <c r="B6" s="7" t="s">
        <v>22</v>
      </c>
      <c r="C6" s="4" t="s">
        <v>23</v>
      </c>
      <c r="D6" s="5">
        <v>0</v>
      </c>
      <c r="E6" s="4" t="s">
        <v>24</v>
      </c>
      <c r="F6" s="8">
        <f>J6/3</f>
        <v>3.3333333333333333E-2</v>
      </c>
      <c r="G6" s="4" t="s">
        <v>25</v>
      </c>
      <c r="H6" s="8">
        <f>J6*2/3</f>
        <v>6.6666666666666666E-2</v>
      </c>
      <c r="I6" s="4" t="s">
        <v>26</v>
      </c>
      <c r="J6" s="4">
        <v>0.1</v>
      </c>
      <c r="K6" s="4"/>
    </row>
    <row r="7" spans="1:11" x14ac:dyDescent="0.3">
      <c r="A7" s="18"/>
      <c r="B7" s="7" t="s">
        <v>27</v>
      </c>
      <c r="C7" s="4" t="s">
        <v>23</v>
      </c>
      <c r="D7" s="5">
        <v>0</v>
      </c>
      <c r="E7" s="4" t="s">
        <v>24</v>
      </c>
      <c r="F7" s="8">
        <f t="shared" ref="F7:F34" si="0">J7/3</f>
        <v>3.3333333333333333E-2</v>
      </c>
      <c r="G7" s="4" t="s">
        <v>25</v>
      </c>
      <c r="H7" s="8">
        <f t="shared" ref="H7:H34" si="1">J7*2/3</f>
        <v>6.6666666666666666E-2</v>
      </c>
      <c r="I7" s="4" t="s">
        <v>26</v>
      </c>
      <c r="J7" s="4">
        <v>0.1</v>
      </c>
      <c r="K7" s="4"/>
    </row>
    <row r="8" spans="1:11" ht="27.6" x14ac:dyDescent="0.3">
      <c r="A8" s="18"/>
      <c r="B8" s="7" t="s">
        <v>28</v>
      </c>
      <c r="C8" s="4" t="s">
        <v>23</v>
      </c>
      <c r="D8" s="5">
        <v>0</v>
      </c>
      <c r="E8" s="4" t="s">
        <v>24</v>
      </c>
      <c r="F8" s="8">
        <f t="shared" si="0"/>
        <v>3.3333333333333333E-2</v>
      </c>
      <c r="G8" s="4" t="s">
        <v>25</v>
      </c>
      <c r="H8" s="8">
        <f t="shared" si="1"/>
        <v>6.6666666666666666E-2</v>
      </c>
      <c r="I8" s="4" t="s">
        <v>26</v>
      </c>
      <c r="J8" s="4">
        <v>0.1</v>
      </c>
      <c r="K8" s="9"/>
    </row>
    <row r="9" spans="1:11" x14ac:dyDescent="0.3">
      <c r="A9" s="18"/>
      <c r="B9" s="7" t="s">
        <v>29</v>
      </c>
      <c r="C9" s="4" t="s">
        <v>23</v>
      </c>
      <c r="D9" s="5">
        <v>0</v>
      </c>
      <c r="E9" s="4" t="s">
        <v>24</v>
      </c>
      <c r="F9" s="8">
        <f t="shared" si="0"/>
        <v>6.6666666666666666E-2</v>
      </c>
      <c r="G9" s="4" t="s">
        <v>25</v>
      </c>
      <c r="H9" s="8">
        <f t="shared" si="1"/>
        <v>0.13333333333333333</v>
      </c>
      <c r="I9" s="4" t="s">
        <v>26</v>
      </c>
      <c r="J9" s="4">
        <v>0.2</v>
      </c>
      <c r="K9" s="9"/>
    </row>
    <row r="10" spans="1:11" x14ac:dyDescent="0.3">
      <c r="A10" s="18"/>
      <c r="B10" s="7" t="s">
        <v>30</v>
      </c>
      <c r="C10" s="4" t="s">
        <v>23</v>
      </c>
      <c r="D10" s="5">
        <v>0</v>
      </c>
      <c r="E10" s="4" t="s">
        <v>24</v>
      </c>
      <c r="F10" s="8">
        <f t="shared" si="0"/>
        <v>3.3333333333333333E-2</v>
      </c>
      <c r="G10" s="4" t="s">
        <v>25</v>
      </c>
      <c r="H10" s="8">
        <f t="shared" si="1"/>
        <v>6.6666666666666666E-2</v>
      </c>
      <c r="I10" s="4" t="s">
        <v>26</v>
      </c>
      <c r="J10" s="4">
        <v>0.1</v>
      </c>
      <c r="K10" s="9"/>
    </row>
    <row r="11" spans="1:11" x14ac:dyDescent="0.3">
      <c r="A11" s="18"/>
      <c r="B11" s="7" t="s">
        <v>31</v>
      </c>
      <c r="C11" s="4" t="s">
        <v>23</v>
      </c>
      <c r="D11" s="5">
        <v>0</v>
      </c>
      <c r="E11" s="4" t="s">
        <v>24</v>
      </c>
      <c r="F11" s="8">
        <f t="shared" si="0"/>
        <v>6.6666666666666666E-2</v>
      </c>
      <c r="G11" s="4" t="s">
        <v>25</v>
      </c>
      <c r="H11" s="8">
        <f t="shared" si="1"/>
        <v>0.13333333333333333</v>
      </c>
      <c r="I11" s="4" t="s">
        <v>26</v>
      </c>
      <c r="J11" s="4">
        <v>0.2</v>
      </c>
      <c r="K11" s="9"/>
    </row>
    <row r="12" spans="1:11" ht="27.6" x14ac:dyDescent="0.3">
      <c r="A12" s="18"/>
      <c r="B12" s="7" t="s">
        <v>32</v>
      </c>
      <c r="C12" s="4" t="s">
        <v>23</v>
      </c>
      <c r="D12" s="5">
        <v>0</v>
      </c>
      <c r="E12" s="4" t="s">
        <v>24</v>
      </c>
      <c r="F12" s="8">
        <f t="shared" si="0"/>
        <v>3.3333333333333333E-2</v>
      </c>
      <c r="G12" s="4" t="s">
        <v>25</v>
      </c>
      <c r="H12" s="8">
        <f t="shared" si="1"/>
        <v>6.6666666666666666E-2</v>
      </c>
      <c r="I12" s="4" t="s">
        <v>26</v>
      </c>
      <c r="J12" s="4">
        <v>0.1</v>
      </c>
      <c r="K12" s="9"/>
    </row>
    <row r="13" spans="1:11" ht="27.6" x14ac:dyDescent="0.3">
      <c r="A13" s="18"/>
      <c r="B13" s="7" t="s">
        <v>33</v>
      </c>
      <c r="C13" s="4" t="s">
        <v>23</v>
      </c>
      <c r="D13" s="5">
        <v>0</v>
      </c>
      <c r="E13" s="4" t="s">
        <v>24</v>
      </c>
      <c r="F13" s="8">
        <f t="shared" si="0"/>
        <v>3.3333333333333333E-2</v>
      </c>
      <c r="G13" s="4" t="s">
        <v>25</v>
      </c>
      <c r="H13" s="8">
        <f t="shared" si="1"/>
        <v>6.6666666666666666E-2</v>
      </c>
      <c r="I13" s="4" t="s">
        <v>26</v>
      </c>
      <c r="J13" s="4">
        <v>0.1</v>
      </c>
      <c r="K13" s="9"/>
    </row>
    <row r="14" spans="1:11" x14ac:dyDescent="0.3">
      <c r="A14" s="18"/>
      <c r="B14" s="7" t="s">
        <v>34</v>
      </c>
      <c r="C14" s="4" t="s">
        <v>23</v>
      </c>
      <c r="D14" s="5">
        <v>0</v>
      </c>
      <c r="E14" s="4" t="s">
        <v>24</v>
      </c>
      <c r="F14" s="8">
        <f t="shared" si="0"/>
        <v>3.3333333333333333E-2</v>
      </c>
      <c r="G14" s="4" t="s">
        <v>25</v>
      </c>
      <c r="H14" s="8">
        <f t="shared" si="1"/>
        <v>6.6666666666666666E-2</v>
      </c>
      <c r="I14" s="4" t="s">
        <v>26</v>
      </c>
      <c r="J14" s="4">
        <v>0.1</v>
      </c>
      <c r="K14" s="9"/>
    </row>
    <row r="15" spans="1:11" ht="27.6" x14ac:dyDescent="0.3">
      <c r="A15" s="18"/>
      <c r="B15" s="7" t="s">
        <v>35</v>
      </c>
      <c r="C15" s="4" t="s">
        <v>23</v>
      </c>
      <c r="D15" s="5">
        <v>0</v>
      </c>
      <c r="E15" s="4" t="s">
        <v>24</v>
      </c>
      <c r="F15" s="8">
        <f t="shared" si="0"/>
        <v>3.3333333333333333E-2</v>
      </c>
      <c r="G15" s="4" t="s">
        <v>25</v>
      </c>
      <c r="H15" s="8">
        <f t="shared" si="1"/>
        <v>6.6666666666666666E-2</v>
      </c>
      <c r="I15" s="4" t="s">
        <v>26</v>
      </c>
      <c r="J15" s="4">
        <v>0.1</v>
      </c>
      <c r="K15" s="10"/>
    </row>
    <row r="16" spans="1:11" x14ac:dyDescent="0.3">
      <c r="A16" s="18"/>
      <c r="B16" s="7" t="s">
        <v>36</v>
      </c>
      <c r="C16" s="4" t="s">
        <v>23</v>
      </c>
      <c r="D16" s="5">
        <v>0</v>
      </c>
      <c r="E16" s="4" t="s">
        <v>24</v>
      </c>
      <c r="F16" s="8">
        <f t="shared" si="0"/>
        <v>6.6666666666666666E-2</v>
      </c>
      <c r="G16" s="4" t="s">
        <v>25</v>
      </c>
      <c r="H16" s="8">
        <f t="shared" si="1"/>
        <v>0.13333333333333333</v>
      </c>
      <c r="I16" s="4" t="s">
        <v>26</v>
      </c>
      <c r="J16" s="11">
        <v>0.2</v>
      </c>
      <c r="K16" s="12"/>
    </row>
    <row r="17" spans="1:11" ht="41.4" x14ac:dyDescent="0.3">
      <c r="A17" s="18"/>
      <c r="B17" s="7" t="s">
        <v>37</v>
      </c>
      <c r="C17" s="4" t="s">
        <v>23</v>
      </c>
      <c r="D17" s="5">
        <v>0</v>
      </c>
      <c r="E17" s="4" t="s">
        <v>24</v>
      </c>
      <c r="F17" s="8">
        <f t="shared" si="0"/>
        <v>6.6666666666666666E-2</v>
      </c>
      <c r="G17" s="4" t="s">
        <v>25</v>
      </c>
      <c r="H17" s="8">
        <f t="shared" si="1"/>
        <v>0.13333333333333333</v>
      </c>
      <c r="I17" s="4" t="s">
        <v>26</v>
      </c>
      <c r="J17" s="11">
        <v>0.2</v>
      </c>
      <c r="K17" s="12"/>
    </row>
    <row r="18" spans="1:11" x14ac:dyDescent="0.3">
      <c r="A18" s="18"/>
      <c r="B18" s="7" t="s">
        <v>38</v>
      </c>
      <c r="C18" s="4" t="s">
        <v>23</v>
      </c>
      <c r="D18" s="5">
        <v>0</v>
      </c>
      <c r="E18" s="4" t="s">
        <v>24</v>
      </c>
      <c r="F18" s="8">
        <f t="shared" si="0"/>
        <v>6.6666666666666666E-2</v>
      </c>
      <c r="G18" s="4" t="s">
        <v>25</v>
      </c>
      <c r="H18" s="8">
        <f t="shared" si="1"/>
        <v>0.13333333333333333</v>
      </c>
      <c r="I18" s="4" t="s">
        <v>26</v>
      </c>
      <c r="J18" s="11">
        <v>0.2</v>
      </c>
      <c r="K18" s="12"/>
    </row>
    <row r="19" spans="1:11" ht="28.2" thickBot="1" x14ac:dyDescent="0.35">
      <c r="A19" s="19"/>
      <c r="B19" s="7" t="s">
        <v>39</v>
      </c>
      <c r="C19" s="4" t="s">
        <v>23</v>
      </c>
      <c r="D19" s="5">
        <v>0</v>
      </c>
      <c r="E19" s="4" t="s">
        <v>24</v>
      </c>
      <c r="F19" s="8">
        <f t="shared" si="0"/>
        <v>6.6666666666666666E-2</v>
      </c>
      <c r="G19" s="4" t="s">
        <v>25</v>
      </c>
      <c r="H19" s="8">
        <f t="shared" si="1"/>
        <v>0.13333333333333333</v>
      </c>
      <c r="I19" s="4" t="s">
        <v>26</v>
      </c>
      <c r="J19" s="11">
        <v>0.2</v>
      </c>
      <c r="K19" s="12"/>
    </row>
    <row r="20" spans="1:11" x14ac:dyDescent="0.3">
      <c r="A20" s="17" t="s">
        <v>57</v>
      </c>
      <c r="B20" s="3" t="s">
        <v>40</v>
      </c>
      <c r="C20" s="4" t="s">
        <v>23</v>
      </c>
      <c r="D20" s="5">
        <v>0</v>
      </c>
      <c r="E20" s="4" t="s">
        <v>24</v>
      </c>
      <c r="F20" s="8">
        <f t="shared" si="0"/>
        <v>0.16666666666666666</v>
      </c>
      <c r="G20" s="4" t="s">
        <v>25</v>
      </c>
      <c r="H20" s="8">
        <f t="shared" si="1"/>
        <v>0.33333333333333331</v>
      </c>
      <c r="I20" s="4" t="s">
        <v>26</v>
      </c>
      <c r="J20" s="11">
        <v>0.5</v>
      </c>
      <c r="K20" s="12"/>
    </row>
    <row r="21" spans="1:11" ht="27.6" x14ac:dyDescent="0.3">
      <c r="A21" s="18"/>
      <c r="B21" s="3" t="s">
        <v>41</v>
      </c>
      <c r="C21" s="4" t="s">
        <v>23</v>
      </c>
      <c r="D21" s="5">
        <v>0</v>
      </c>
      <c r="E21" s="4" t="s">
        <v>24</v>
      </c>
      <c r="F21" s="8">
        <f t="shared" si="0"/>
        <v>9.9999999999999992E-2</v>
      </c>
      <c r="G21" s="4" t="s">
        <v>25</v>
      </c>
      <c r="H21" s="8">
        <f t="shared" si="1"/>
        <v>0.19999999999999998</v>
      </c>
      <c r="I21" s="4" t="s">
        <v>26</v>
      </c>
      <c r="J21" s="11">
        <v>0.3</v>
      </c>
      <c r="K21" s="12"/>
    </row>
    <row r="22" spans="1:11" x14ac:dyDescent="0.3">
      <c r="A22" s="18"/>
      <c r="B22" s="3" t="s">
        <v>42</v>
      </c>
      <c r="C22" s="4" t="s">
        <v>23</v>
      </c>
      <c r="D22" s="5">
        <v>0</v>
      </c>
      <c r="E22" s="4" t="s">
        <v>24</v>
      </c>
      <c r="F22" s="8">
        <f t="shared" si="0"/>
        <v>0.16666666666666666</v>
      </c>
      <c r="G22" s="4" t="s">
        <v>25</v>
      </c>
      <c r="H22" s="8">
        <f>J22*2/3</f>
        <v>0.33333333333333331</v>
      </c>
      <c r="I22" s="4" t="s">
        <v>26</v>
      </c>
      <c r="J22" s="11">
        <v>0.5</v>
      </c>
      <c r="K22" s="12"/>
    </row>
    <row r="23" spans="1:11" ht="27.6" x14ac:dyDescent="0.3">
      <c r="A23" s="18"/>
      <c r="B23" s="3" t="s">
        <v>43</v>
      </c>
      <c r="C23" s="4" t="s">
        <v>23</v>
      </c>
      <c r="D23" s="5">
        <v>0</v>
      </c>
      <c r="E23" s="4" t="s">
        <v>24</v>
      </c>
      <c r="F23" s="8">
        <f t="shared" si="0"/>
        <v>0.16666666666666666</v>
      </c>
      <c r="G23" s="4" t="s">
        <v>25</v>
      </c>
      <c r="H23" s="8">
        <f t="shared" si="1"/>
        <v>0.33333333333333331</v>
      </c>
      <c r="I23" s="4" t="s">
        <v>26</v>
      </c>
      <c r="J23" s="11">
        <v>0.5</v>
      </c>
      <c r="K23" s="12"/>
    </row>
    <row r="24" spans="1:11" x14ac:dyDescent="0.3">
      <c r="A24" s="18"/>
      <c r="B24" s="3" t="s">
        <v>44</v>
      </c>
      <c r="C24" s="4" t="s">
        <v>23</v>
      </c>
      <c r="D24" s="5">
        <v>0</v>
      </c>
      <c r="E24" s="4" t="s">
        <v>24</v>
      </c>
      <c r="F24" s="8">
        <f t="shared" si="0"/>
        <v>0.16666666666666666</v>
      </c>
      <c r="G24" s="4" t="s">
        <v>25</v>
      </c>
      <c r="H24" s="8">
        <f t="shared" si="1"/>
        <v>0.33333333333333331</v>
      </c>
      <c r="I24" s="4" t="s">
        <v>26</v>
      </c>
      <c r="J24" s="11">
        <v>0.5</v>
      </c>
      <c r="K24" s="12"/>
    </row>
    <row r="25" spans="1:11" ht="55.2" x14ac:dyDescent="0.3">
      <c r="A25" s="18"/>
      <c r="B25" s="3" t="s">
        <v>45</v>
      </c>
      <c r="C25" s="4" t="s">
        <v>23</v>
      </c>
      <c r="D25" s="5">
        <v>0</v>
      </c>
      <c r="E25" s="4" t="s">
        <v>24</v>
      </c>
      <c r="F25" s="8">
        <f t="shared" si="0"/>
        <v>0.16666666666666666</v>
      </c>
      <c r="G25" s="4" t="s">
        <v>25</v>
      </c>
      <c r="H25" s="8">
        <f t="shared" si="1"/>
        <v>0.33333333333333331</v>
      </c>
      <c r="I25" s="4" t="s">
        <v>26</v>
      </c>
      <c r="J25" s="11">
        <v>0.5</v>
      </c>
      <c r="K25" s="12"/>
    </row>
    <row r="26" spans="1:11" ht="28.2" thickBot="1" x14ac:dyDescent="0.35">
      <c r="A26" s="18"/>
      <c r="B26" s="3" t="s">
        <v>46</v>
      </c>
      <c r="C26" s="4" t="s">
        <v>23</v>
      </c>
      <c r="D26" s="5">
        <v>0</v>
      </c>
      <c r="E26" s="4" t="s">
        <v>24</v>
      </c>
      <c r="F26" s="8">
        <f t="shared" si="0"/>
        <v>6.6666666666666666E-2</v>
      </c>
      <c r="G26" s="4" t="s">
        <v>25</v>
      </c>
      <c r="H26" s="8">
        <f t="shared" si="1"/>
        <v>0.13333333333333333</v>
      </c>
      <c r="I26" s="4" t="s">
        <v>26</v>
      </c>
      <c r="J26" s="11">
        <v>0.2</v>
      </c>
      <c r="K26" s="12"/>
    </row>
    <row r="27" spans="1:11" ht="96.6" x14ac:dyDescent="0.3">
      <c r="A27" s="22" t="s">
        <v>56</v>
      </c>
      <c r="B27" s="3" t="s">
        <v>59</v>
      </c>
      <c r="C27" s="4" t="s">
        <v>23</v>
      </c>
      <c r="D27" s="5">
        <v>0</v>
      </c>
      <c r="E27" s="4" t="s">
        <v>24</v>
      </c>
      <c r="F27" s="8">
        <f t="shared" si="0"/>
        <v>0.16666666666666666</v>
      </c>
      <c r="G27" s="4" t="s">
        <v>25</v>
      </c>
      <c r="H27" s="8">
        <f t="shared" si="1"/>
        <v>0.33333333333333331</v>
      </c>
      <c r="I27" s="4" t="s">
        <v>26</v>
      </c>
      <c r="J27" s="11">
        <v>0.5</v>
      </c>
      <c r="K27" s="12"/>
    </row>
    <row r="28" spans="1:11" x14ac:dyDescent="0.3">
      <c r="A28" s="23"/>
      <c r="B28" s="3" t="s">
        <v>47</v>
      </c>
      <c r="C28" s="4" t="s">
        <v>23</v>
      </c>
      <c r="D28" s="5">
        <v>0</v>
      </c>
      <c r="E28" s="4" t="s">
        <v>24</v>
      </c>
      <c r="F28" s="8">
        <f t="shared" si="0"/>
        <v>0.16666666666666666</v>
      </c>
      <c r="G28" s="4" t="s">
        <v>25</v>
      </c>
      <c r="H28" s="8">
        <f t="shared" si="1"/>
        <v>0.33333333333333331</v>
      </c>
      <c r="I28" s="4" t="s">
        <v>26</v>
      </c>
      <c r="J28" s="11">
        <v>0.5</v>
      </c>
      <c r="K28" s="12"/>
    </row>
    <row r="29" spans="1:11" x14ac:dyDescent="0.3">
      <c r="A29" s="23"/>
      <c r="B29" s="3" t="s">
        <v>48</v>
      </c>
      <c r="C29" s="4" t="s">
        <v>23</v>
      </c>
      <c r="D29" s="5">
        <v>0</v>
      </c>
      <c r="E29" s="4" t="s">
        <v>24</v>
      </c>
      <c r="F29" s="8">
        <f t="shared" si="0"/>
        <v>0.16666666666666666</v>
      </c>
      <c r="G29" s="4" t="s">
        <v>25</v>
      </c>
      <c r="H29" s="8">
        <f t="shared" si="1"/>
        <v>0.33333333333333331</v>
      </c>
      <c r="I29" s="4" t="s">
        <v>26</v>
      </c>
      <c r="J29" s="11">
        <v>0.5</v>
      </c>
      <c r="K29" s="12"/>
    </row>
    <row r="30" spans="1:11" x14ac:dyDescent="0.3">
      <c r="A30" s="23"/>
      <c r="B30" s="3" t="s">
        <v>60</v>
      </c>
      <c r="C30" s="4" t="s">
        <v>23</v>
      </c>
      <c r="D30" s="5">
        <v>0</v>
      </c>
      <c r="E30" s="4" t="s">
        <v>24</v>
      </c>
      <c r="F30" s="8">
        <f t="shared" si="0"/>
        <v>0.16666666666666666</v>
      </c>
      <c r="G30" s="4" t="s">
        <v>25</v>
      </c>
      <c r="H30" s="8">
        <f t="shared" si="1"/>
        <v>0.33333333333333331</v>
      </c>
      <c r="I30" s="4" t="s">
        <v>26</v>
      </c>
      <c r="J30" s="11">
        <v>0.5</v>
      </c>
      <c r="K30" s="12"/>
    </row>
    <row r="31" spans="1:11" x14ac:dyDescent="0.3">
      <c r="A31" s="23"/>
      <c r="B31" s="3" t="s">
        <v>49</v>
      </c>
      <c r="C31" s="4" t="s">
        <v>23</v>
      </c>
      <c r="D31" s="5">
        <v>0</v>
      </c>
      <c r="E31" s="4" t="s">
        <v>24</v>
      </c>
      <c r="F31" s="8">
        <f t="shared" si="0"/>
        <v>0.16666666666666666</v>
      </c>
      <c r="G31" s="4" t="s">
        <v>25</v>
      </c>
      <c r="H31" s="8">
        <f t="shared" si="1"/>
        <v>0.33333333333333331</v>
      </c>
      <c r="I31" s="4" t="s">
        <v>26</v>
      </c>
      <c r="J31" s="11">
        <v>0.5</v>
      </c>
      <c r="K31" s="12"/>
    </row>
    <row r="32" spans="1:11" ht="27.6" x14ac:dyDescent="0.3">
      <c r="A32" s="23"/>
      <c r="B32" s="3" t="s">
        <v>58</v>
      </c>
      <c r="C32" s="4" t="s">
        <v>23</v>
      </c>
      <c r="D32" s="5">
        <v>0</v>
      </c>
      <c r="E32" s="4" t="s">
        <v>24</v>
      </c>
      <c r="F32" s="8">
        <f t="shared" si="0"/>
        <v>0.16666666666666666</v>
      </c>
      <c r="G32" s="4" t="s">
        <v>25</v>
      </c>
      <c r="H32" s="8">
        <f t="shared" si="1"/>
        <v>0.33333333333333331</v>
      </c>
      <c r="I32" s="4" t="s">
        <v>26</v>
      </c>
      <c r="J32" s="11">
        <v>0.5</v>
      </c>
      <c r="K32" s="12"/>
    </row>
    <row r="33" spans="1:11" ht="41.4" x14ac:dyDescent="0.3">
      <c r="A33" s="20" t="s">
        <v>50</v>
      </c>
      <c r="B33" s="3" t="s">
        <v>51</v>
      </c>
      <c r="C33" s="4" t="s">
        <v>52</v>
      </c>
      <c r="D33" s="5">
        <v>0</v>
      </c>
      <c r="E33" s="4" t="s">
        <v>53</v>
      </c>
      <c r="F33" s="8">
        <f t="shared" si="0"/>
        <v>0.33333333333333331</v>
      </c>
      <c r="G33" s="4" t="s">
        <v>54</v>
      </c>
      <c r="H33" s="8">
        <f t="shared" si="1"/>
        <v>0.66666666666666663</v>
      </c>
      <c r="I33" s="4" t="s">
        <v>54</v>
      </c>
      <c r="J33" s="11">
        <v>1</v>
      </c>
      <c r="K33" s="12"/>
    </row>
    <row r="34" spans="1:11" ht="41.4" x14ac:dyDescent="0.3">
      <c r="A34" s="21"/>
      <c r="B34" s="3" t="s">
        <v>55</v>
      </c>
      <c r="C34" s="4" t="s">
        <v>52</v>
      </c>
      <c r="D34" s="5">
        <v>0</v>
      </c>
      <c r="E34" s="4" t="s">
        <v>53</v>
      </c>
      <c r="F34" s="8">
        <f t="shared" si="0"/>
        <v>0.33333333333333331</v>
      </c>
      <c r="G34" s="4" t="s">
        <v>54</v>
      </c>
      <c r="H34" s="8">
        <f t="shared" si="1"/>
        <v>0.66666666666666663</v>
      </c>
      <c r="I34" s="4" t="s">
        <v>54</v>
      </c>
      <c r="J34" s="11">
        <v>1</v>
      </c>
      <c r="K34" s="12"/>
    </row>
    <row r="35" spans="1:11" ht="15" customHeight="1" x14ac:dyDescent="0.3">
      <c r="J35" s="13">
        <f>SUM(J4:J34)</f>
        <v>11</v>
      </c>
    </row>
  </sheetData>
  <mergeCells count="11">
    <mergeCell ref="A1:B2"/>
    <mergeCell ref="C1:G1"/>
    <mergeCell ref="K1:K2"/>
    <mergeCell ref="C2:D2"/>
    <mergeCell ref="E2:F2"/>
    <mergeCell ref="G2:H2"/>
    <mergeCell ref="A3:A5"/>
    <mergeCell ref="A6:A19"/>
    <mergeCell ref="A20:A26"/>
    <mergeCell ref="A33:A34"/>
    <mergeCell ref="A27:A32"/>
  </mergeCells>
  <conditionalFormatting sqref="C3:C34">
    <cfRule type="expression" dxfId="25" priority="29">
      <formula>(#REF!=$G$2)</formula>
    </cfRule>
    <cfRule type="expression" dxfId="24" priority="30">
      <formula>(#REF!&lt;&gt;$G$2)</formula>
    </cfRule>
  </conditionalFormatting>
  <conditionalFormatting sqref="C3:J3 C6:J34">
    <cfRule type="expression" dxfId="23" priority="42">
      <formula>(#REF!="")</formula>
    </cfRule>
  </conditionalFormatting>
  <conditionalFormatting sqref="C4:J5">
    <cfRule type="expression" dxfId="22" priority="33">
      <formula>(#REF!="")</formula>
    </cfRule>
  </conditionalFormatting>
  <conditionalFormatting sqref="D3:D34">
    <cfRule type="expression" dxfId="21" priority="31">
      <formula>(#REF!=$C$2)</formula>
    </cfRule>
    <cfRule type="expression" dxfId="20" priority="32">
      <formula>(#REF!&lt;&gt;$C$2)</formula>
    </cfRule>
  </conditionalFormatting>
  <conditionalFormatting sqref="E4:F5">
    <cfRule type="expression" dxfId="19" priority="34">
      <formula>(#REF!=$E$2)</formula>
    </cfRule>
    <cfRule type="expression" dxfId="18" priority="35">
      <formula>(#REF!&lt;&gt;$E$2)</formula>
    </cfRule>
    <cfRule type="expression" dxfId="17" priority="38">
      <formula>(#REF!=#REF!)</formula>
    </cfRule>
    <cfRule type="expression" dxfId="16" priority="39">
      <formula>(#REF!&lt;&gt;#REF!)</formula>
    </cfRule>
  </conditionalFormatting>
  <conditionalFormatting sqref="E3:J3 G4:J5 E6:J34">
    <cfRule type="expression" dxfId="15" priority="40">
      <formula>(#REF!=$G$2)</formula>
    </cfRule>
  </conditionalFormatting>
  <conditionalFormatting sqref="F4:F5">
    <cfRule type="expression" dxfId="14" priority="27">
      <formula>(#REF!=$C$2)</formula>
    </cfRule>
    <cfRule type="expression" dxfId="13" priority="28">
      <formula>(#REF!&lt;&gt;$C$2)</formula>
    </cfRule>
  </conditionalFormatting>
  <conditionalFormatting sqref="G4:J5 E3:J3 E6:J34">
    <cfRule type="expression" dxfId="12" priority="41">
      <formula>(#REF!&lt;&gt;$G$2)</formula>
    </cfRule>
  </conditionalFormatting>
  <conditionalFormatting sqref="H4:H5">
    <cfRule type="expression" dxfId="11" priority="21">
      <formula>(#REF!=$C$2)</formula>
    </cfRule>
    <cfRule type="expression" dxfId="10" priority="22">
      <formula>(#REF!&lt;&gt;$C$2)</formula>
    </cfRule>
    <cfRule type="expression" dxfId="9" priority="23">
      <formula>(#REF!=$E$2)</formula>
    </cfRule>
    <cfRule type="expression" dxfId="8" priority="24">
      <formula>(#REF!&lt;&gt;$E$2)</formula>
    </cfRule>
    <cfRule type="expression" dxfId="7" priority="25">
      <formula>(#REF!=#REF!)</formula>
    </cfRule>
    <cfRule type="expression" dxfId="6" priority="26">
      <formula>(#REF!&lt;&gt;#REF!)</formula>
    </cfRule>
  </conditionalFormatting>
  <conditionalFormatting sqref="J4:J5">
    <cfRule type="expression" dxfId="5" priority="15">
      <formula>(#REF!=$C$2)</formula>
    </cfRule>
    <cfRule type="expression" dxfId="4" priority="16">
      <formula>(#REF!&lt;&gt;$C$2)</formula>
    </cfRule>
    <cfRule type="expression" dxfId="3" priority="17">
      <formula>(#REF!=$E$2)</formula>
    </cfRule>
    <cfRule type="expression" dxfId="2" priority="18">
      <formula>(#REF!&lt;&gt;$E$2)</formula>
    </cfRule>
    <cfRule type="expression" dxfId="1" priority="19">
      <formula>(#REF!=#REF!)</formula>
    </cfRule>
    <cfRule type="expression" dxfId="0" priority="20">
      <formula>(#REF!&lt;&gt;#REF!)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6D3F77D01B9E4DB6E9022CD85C89CB" ma:contentTypeVersion="12" ma:contentTypeDescription="Create a new document." ma:contentTypeScope="" ma:versionID="78a06972555a2d6eafd9a70d64531e57">
  <xsd:schema xmlns:xsd="http://www.w3.org/2001/XMLSchema" xmlns:xs="http://www.w3.org/2001/XMLSchema" xmlns:p="http://schemas.microsoft.com/office/2006/metadata/properties" xmlns:ns2="3cd1332b-2be7-40f1-9770-624e28d36e12" targetNamespace="http://schemas.microsoft.com/office/2006/metadata/properties" ma:root="true" ma:fieldsID="f920e7f3a07a28339a7d0afed969e474" ns2:_="">
    <xsd:import namespace="3cd1332b-2be7-40f1-9770-624e28d36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d1332b-2be7-40f1-9770-624e28d36e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631b59-e624-4eb7-963c-219f14f88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d1332b-2be7-40f1-9770-624e28d36e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36A10-735D-459E-9D53-3928913948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7E1C12-9235-49D9-BF7C-7E4BA6C9C0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d1332b-2be7-40f1-9770-624e28d36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542DD7-3B10-4817-9D5D-823274C0B3EA}">
  <ds:schemaRefs>
    <ds:schemaRef ds:uri="http://schemas.microsoft.com/office/2006/metadata/properties"/>
    <ds:schemaRef ds:uri="http://schemas.microsoft.com/office/infopath/2007/PartnerControls"/>
    <ds:schemaRef ds:uri="3cd1332b-2be7-40f1-9770-624e28d36e12"/>
  </ds:schemaRefs>
</ds:datastoreItem>
</file>

<file path=docMetadata/LabelInfo.xml><?xml version="1.0" encoding="utf-8"?>
<clbl:labelList xmlns:clbl="http://schemas.microsoft.com/office/2020/mipLabelMetadata">
  <clbl:label id="{0361ecad-3f61-4749-aa5c-87fde47ef9ad}" enabled="1" method="Privileged" siteId="{22c8b4a4-d926-43b2-bcc7-87b998590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Alba García Sanz</cp:lastModifiedBy>
  <dcterms:created xsi:type="dcterms:W3CDTF">2026-02-16T12:05:21Z</dcterms:created>
  <dcterms:modified xsi:type="dcterms:W3CDTF">2026-02-18T12:34:52Z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0x010100116D3F77D01B9E4DB6E9022CD85C89CB</vt:lpwstr>
  </property>
</Properties>
</file>