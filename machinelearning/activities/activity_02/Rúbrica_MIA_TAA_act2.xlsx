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Users\virgi\OneDrive - UNIR\Documents\3_SALUD\01_VUO_2024\00_Incidencias\MU081_INTELIGENCIA_ARTIFICIAL\VUO-828834 Modificación Actividad 2 - TAA\muinar05_tecnicas_aprendizaje_automatico\"/>
    </mc:Choice>
  </mc:AlternateContent>
  <xr:revisionPtr revIDLastSave="0" documentId="13_ncr:101_{4993A1F4-99DC-4AAC-80C8-450A192640C8}" xr6:coauthVersionLast="47" xr6:coauthVersionMax="47" xr10:uidLastSave="{00000000-0000-0000-0000-000000000000}"/>
  <bookViews>
    <workbookView xWindow="0" yWindow="552" windowWidth="23040" windowHeight="11808" xr2:uid="{00000000-000D-0000-FFFF-FFFF0000000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31" i="1" l="1"/>
  <c r="H30" i="1" l="1"/>
  <c r="F30" i="1"/>
  <c r="H29" i="1"/>
  <c r="F29" i="1"/>
  <c r="H27" i="1"/>
  <c r="F27" i="1"/>
  <c r="H26" i="1"/>
  <c r="F26" i="1"/>
  <c r="H25" i="1"/>
  <c r="F25" i="1"/>
  <c r="H24" i="1"/>
  <c r="F24" i="1"/>
  <c r="F23" i="1"/>
  <c r="H23" i="1"/>
  <c r="H22" i="1"/>
  <c r="F22" i="1"/>
  <c r="H21" i="1"/>
  <c r="F21" i="1"/>
  <c r="H20" i="1"/>
  <c r="F20" i="1"/>
  <c r="H19" i="1"/>
  <c r="F19" i="1"/>
  <c r="H18" i="1"/>
  <c r="F18" i="1"/>
  <c r="H17" i="1"/>
  <c r="F17" i="1"/>
  <c r="H16" i="1"/>
  <c r="F16" i="1"/>
  <c r="H15" i="1"/>
  <c r="F15" i="1"/>
  <c r="H14" i="1"/>
  <c r="F14" i="1"/>
  <c r="H13" i="1"/>
  <c r="F13" i="1"/>
  <c r="H12" i="1"/>
  <c r="F12" i="1"/>
  <c r="H11" i="1"/>
  <c r="F11" i="1"/>
  <c r="H10" i="1"/>
  <c r="F10" i="1"/>
  <c r="H9" i="1"/>
  <c r="F9" i="1"/>
  <c r="H8" i="1"/>
  <c r="F8" i="1"/>
  <c r="H7" i="1"/>
  <c r="F7" i="1"/>
  <c r="H6" i="1"/>
  <c r="F6" i="1"/>
</calcChain>
</file>

<file path=xl/sharedStrings.xml><?xml version="1.0" encoding="utf-8"?>
<sst xmlns="http://schemas.openxmlformats.org/spreadsheetml/2006/main" count="153" uniqueCount="55">
  <si>
    <t>CRITERIOS</t>
  </si>
  <si>
    <t>Niveles (Texto de realimentación / Calificación)</t>
  </si>
  <si>
    <t>Comentarios (opcional)</t>
  </si>
  <si>
    <t>E (mínimo)</t>
  </si>
  <si>
    <t>C</t>
  </si>
  <si>
    <t>B</t>
  </si>
  <si>
    <t>A (máximo)</t>
  </si>
  <si>
    <t>Fichero .ipynp</t>
  </si>
  <si>
    <t>No entrega el fichero</t>
  </si>
  <si>
    <t>ESTA OPCIÓN NO ES SELECCIONABLE</t>
  </si>
  <si>
    <t>Entrega el fichero sin el código debidamente ejecutado</t>
  </si>
  <si>
    <t>Entrega el fichero con las celdas debidamente ejecutadas</t>
  </si>
  <si>
    <t>Respuestas justas y básicas</t>
  </si>
  <si>
    <t>Excepcional. Hace mucho más de lo pedido</t>
  </si>
  <si>
    <t>Uso de IA generativa (inclusión de norma de uso, uso no declarado, etc.)</t>
  </si>
  <si>
    <t>cargar el dataset</t>
  </si>
  <si>
    <t>No lo ha hecho</t>
  </si>
  <si>
    <t>Contestación muy básica</t>
  </si>
  <si>
    <t>Contestación correcta</t>
  </si>
  <si>
    <t>Contestación correcta y explicada</t>
  </si>
  <si>
    <t>¿Cuántas variables continuas hay en el dataset?</t>
  </si>
  <si>
    <t>¿Cómo es la distribución de etiquetas de clase en el dataset? Con estos datos, ¿podríamos decir que el dataset está balanceado?</t>
  </si>
  <si>
    <t>¿Existen valores nulos o perdidos en el dataset?</t>
  </si>
  <si>
    <t>¿Existe alguna variable altamente correlacionada con la variable de clase?</t>
  </si>
  <si>
    <t>Realiza el entrenamiento del modelo</t>
  </si>
  <si>
    <t>Artículo presentado</t>
  </si>
  <si>
    <t>Explicación del artículo</t>
  </si>
  <si>
    <t>Total</t>
  </si>
  <si>
    <t>3.Support Vector Machine (3 puntos).</t>
  </si>
  <si>
    <t>¿Cuántos ejemplos ha clasificado correctamente? Análisis de resultados por clase</t>
  </si>
  <si>
    <t>Resultados y análisis por clase modelo ganador</t>
  </si>
  <si>
    <t>¿Hace falta normalizar los datos?</t>
  </si>
  <si>
    <t>Entrenamiento y resultados resto de modelos</t>
  </si>
  <si>
    <t>Indica qué son cada uno de estos hiperparámetros.
Parámetro decision_function_shape</t>
  </si>
  <si>
    <t>Resultados y análisis por clase modelo ganador. Comparativa global</t>
  </si>
  <si>
    <t>1. Exploratory Data Analysis (2 puntos).</t>
  </si>
  <si>
    <t>4. Investigación (2 puntos).</t>
  </si>
  <si>
    <t>Entrega (1 punto).</t>
  </si>
  <si>
    <t>Indica qué son cada uno de estos hiperparámetros:  max_depth, min_samples_split, min_samples_leaf, max_features, criterion, ccp_alpha
Parámetro class_weight</t>
  </si>
  <si>
    <t>2. Árboles de Decisión (3 puntos).</t>
  </si>
  <si>
    <t>Medio bajo. Explica, pero no se extiende en demasía</t>
  </si>
  <si>
    <t>Uso de IA declarado, pero sin justificación o con uso excesivo.</t>
  </si>
  <si>
    <t>No aporta respuesta o bien esta es completamente incorrecta</t>
  </si>
  <si>
    <t>Evidencia clara de uso no declarado o inapropiado de IA</t>
  </si>
  <si>
    <t>Aporta una respuesta con una explicación insuficiente para explicar el motivo</t>
  </si>
  <si>
    <t>Presta atención a las respuestas, pero no trabaja la calidad final del entregable</t>
  </si>
  <si>
    <t>Uso de IA declarado, pero con áreas donde la contribución propia es limitada</t>
  </si>
  <si>
    <t>Uso de IA declarado, justificado y ético, potenciando el trabajo propio</t>
  </si>
  <si>
    <t>¿Cuántas instancias tiene el dataset?</t>
  </si>
  <si>
    <t>¿Cuántas variables categóricas hay en el dataset? Indica las categorías</t>
  </si>
  <si>
    <t>¿Qué tres variables del dataset consideras que pueden influir más en la clasificación de los datos?</t>
  </si>
  <si>
    <t> ¿Cómo son las correlaciones entre las variables del dataset</t>
  </si>
  <si>
    <t>Visualiza la matriz de confusión del modelo entrenado con 20 niveles</t>
  </si>
  <si>
    <t>Visualiza las matrices de confusión</t>
  </si>
  <si>
    <t>Calidad de código y profundidad de las respuestas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</si>
</sst>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7" x14ac:knownFonts="1">
    <font>
      <sz val="11"/>
      <color theme="1"/>
      <name val="Calibri"/>
      <family val="2"/>
      <scheme val="minor"/>
    </font>
    <font>
      <sz val="11"/>
      <color rgb="FFFFFFFF"/>
      <name val="Calibri"/>
      <family val="2"/>
      <charset val="1"/>
    </font>
    <font>
      <b/>
      <sz val="11"/>
      <color rgb="FFFFFFFF"/>
      <name val="Calibri"/>
      <family val="2"/>
      <charset val="1"/>
    </font>
    <font>
      <sz val="11"/>
      <color rgb="FF000000"/>
      <name val="Calibri"/>
      <family val="2"/>
      <charset val="1"/>
    </font>
    <font>
      <b/>
      <sz val="10"/>
      <color rgb="FF000000"/>
      <name val="Calibri"/>
      <family val="2"/>
      <charset val="1"/>
    </font>
    <font>
      <b/>
      <sz val="10"/>
      <color theme="1"/>
      <name val="Calibri"/>
      <family val="2"/>
      <scheme val="minor"/>
    </font>
    <font>
      <sz val="10"/>
      <color rgb="FF000000"/>
      <name val="Calibri"/>
      <family val="2"/>
      <charset val="1"/>
    </font>
  </fonts>
  <fills count="10">
    <fill>
      <patternFill patternType="none"/>
    </fill>
    <fill>
      <patternFill patternType="gray125"/>
    </fill>
    <fill>
      <patternFill patternType="solid">
        <fgColor rgb="FFA5A5A5"/>
        <bgColor rgb="FF9DC3E6"/>
      </patternFill>
    </fill>
    <fill>
      <patternFill patternType="solid">
        <fgColor rgb="FF333F50"/>
        <bgColor rgb="FF333399"/>
      </patternFill>
    </fill>
    <fill>
      <patternFill patternType="solid">
        <fgColor rgb="FF5B9BD5"/>
        <bgColor rgb="FF808080"/>
      </patternFill>
    </fill>
    <fill>
      <patternFill patternType="solid">
        <fgColor rgb="FF9DC3E6"/>
        <bgColor rgb="FFA5A5A5"/>
      </patternFill>
    </fill>
    <fill>
      <patternFill patternType="solid">
        <fgColor rgb="FFE7E6E6"/>
        <bgColor rgb="FFDEEBF7"/>
      </patternFill>
    </fill>
    <fill>
      <patternFill patternType="solid">
        <fgColor theme="0"/>
        <bgColor rgb="FFDEEBF7"/>
      </patternFill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</fills>
  <borders count="19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/>
      <diagonal/>
    </border>
    <border>
      <left style="thin">
        <color auto="1"/>
      </left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indexed="64"/>
      </bottom>
      <diagonal/>
    </border>
  </borders>
  <cellStyleXfs count="4">
    <xf numFmtId="0" fontId="0" fillId="0" borderId="0"/>
    <xf numFmtId="0" fontId="1" fillId="2" borderId="0" applyBorder="0" applyProtection="0"/>
    <xf numFmtId="0" fontId="1" fillId="4" borderId="0" applyBorder="0" applyProtection="0"/>
    <xf numFmtId="0" fontId="3" fillId="5" borderId="0" applyBorder="0" applyProtection="0"/>
  </cellStyleXfs>
  <cellXfs count="27">
    <xf numFmtId="0" fontId="0" fillId="0" borderId="0" xfId="0"/>
    <xf numFmtId="0" fontId="2" fillId="4" borderId="0" xfId="2" applyFont="1" applyBorder="1" applyAlignment="1" applyProtection="1">
      <alignment horizontal="center"/>
    </xf>
    <xf numFmtId="0" fontId="2" fillId="5" borderId="0" xfId="3" applyFont="1" applyBorder="1" applyAlignment="1" applyProtection="1">
      <alignment horizontal="center"/>
    </xf>
    <xf numFmtId="0" fontId="4" fillId="6" borderId="8" xfId="0" applyFont="1" applyFill="1" applyBorder="1" applyAlignment="1">
      <alignment vertical="center" wrapText="1"/>
    </xf>
    <xf numFmtId="0" fontId="4" fillId="7" borderId="8" xfId="0" applyFont="1" applyFill="1" applyBorder="1" applyAlignment="1">
      <alignment vertical="center" wrapText="1"/>
    </xf>
    <xf numFmtId="2" fontId="4" fillId="7" borderId="8" xfId="0" applyNumberFormat="1" applyFont="1" applyFill="1" applyBorder="1" applyAlignment="1">
      <alignment vertical="center" wrapText="1"/>
    </xf>
    <xf numFmtId="2" fontId="4" fillId="8" borderId="8" xfId="0" applyNumberFormat="1" applyFont="1" applyFill="1" applyBorder="1" applyAlignment="1">
      <alignment vertical="center" wrapText="1"/>
    </xf>
    <xf numFmtId="164" fontId="5" fillId="9" borderId="11" xfId="0" applyNumberFormat="1" applyFont="1" applyFill="1" applyBorder="1" applyAlignment="1">
      <alignment vertical="center" wrapText="1"/>
    </xf>
    <xf numFmtId="0" fontId="6" fillId="7" borderId="8" xfId="0" applyFont="1" applyFill="1" applyBorder="1" applyAlignment="1">
      <alignment vertical="center" wrapText="1"/>
    </xf>
    <xf numFmtId="0" fontId="4" fillId="7" borderId="7" xfId="0" applyFont="1" applyFill="1" applyBorder="1" applyAlignment="1">
      <alignment vertical="center" wrapText="1"/>
    </xf>
    <xf numFmtId="164" fontId="5" fillId="9" borderId="13" xfId="0" applyNumberFormat="1" applyFont="1" applyFill="1" applyBorder="1" applyAlignment="1">
      <alignment vertical="center" wrapText="1"/>
    </xf>
    <xf numFmtId="0" fontId="0" fillId="0" borderId="14" xfId="0" applyBorder="1"/>
    <xf numFmtId="164" fontId="0" fillId="0" borderId="15" xfId="0" applyNumberFormat="1" applyBorder="1"/>
    <xf numFmtId="0" fontId="2" fillId="3" borderId="1" xfId="1" applyFont="1" applyFill="1" applyBorder="1" applyAlignment="1" applyProtection="1">
      <alignment horizontal="center" vertical="center"/>
    </xf>
    <xf numFmtId="0" fontId="2" fillId="3" borderId="4" xfId="1" applyFont="1" applyFill="1" applyBorder="1" applyAlignment="1" applyProtection="1">
      <alignment horizontal="center" vertical="center"/>
    </xf>
    <xf numFmtId="0" fontId="2" fillId="4" borderId="2" xfId="2" applyFont="1" applyBorder="1" applyAlignment="1" applyProtection="1">
      <alignment horizontal="center"/>
    </xf>
    <xf numFmtId="0" fontId="2" fillId="5" borderId="3" xfId="3" applyFont="1" applyBorder="1" applyAlignment="1" applyProtection="1">
      <alignment horizontal="center" vertical="center"/>
    </xf>
    <xf numFmtId="0" fontId="2" fillId="5" borderId="5" xfId="3" applyFont="1" applyBorder="1" applyAlignment="1" applyProtection="1">
      <alignment horizontal="center"/>
    </xf>
    <xf numFmtId="0" fontId="2" fillId="5" borderId="6" xfId="3" applyFont="1" applyBorder="1" applyAlignment="1" applyProtection="1">
      <alignment horizontal="center"/>
    </xf>
    <xf numFmtId="0" fontId="4" fillId="6" borderId="7" xfId="0" applyFont="1" applyFill="1" applyBorder="1" applyAlignment="1">
      <alignment horizontal="center" vertical="center" wrapText="1"/>
    </xf>
    <xf numFmtId="0" fontId="4" fillId="6" borderId="9" xfId="0" applyFont="1" applyFill="1" applyBorder="1" applyAlignment="1">
      <alignment horizontal="center" vertical="center" wrapText="1"/>
    </xf>
    <xf numFmtId="0" fontId="4" fillId="6" borderId="10" xfId="0" applyFont="1" applyFill="1" applyBorder="1" applyAlignment="1">
      <alignment horizontal="center" vertical="center" wrapText="1"/>
    </xf>
    <xf numFmtId="0" fontId="5" fillId="9" borderId="12" xfId="0" applyFont="1" applyFill="1" applyBorder="1" applyAlignment="1">
      <alignment horizontal="center" vertical="center" wrapText="1"/>
    </xf>
    <xf numFmtId="0" fontId="5" fillId="9" borderId="11" xfId="0" applyFont="1" applyFill="1" applyBorder="1" applyAlignment="1">
      <alignment horizontal="center" vertical="center" wrapText="1"/>
    </xf>
    <xf numFmtId="0" fontId="4" fillId="6" borderId="16" xfId="0" applyFont="1" applyFill="1" applyBorder="1" applyAlignment="1">
      <alignment horizontal="center" vertical="center" wrapText="1"/>
    </xf>
    <xf numFmtId="0" fontId="4" fillId="6" borderId="17" xfId="0" applyFont="1" applyFill="1" applyBorder="1" applyAlignment="1">
      <alignment horizontal="center" vertical="center" wrapText="1"/>
    </xf>
    <xf numFmtId="0" fontId="4" fillId="6" borderId="18" xfId="0" applyFont="1" applyFill="1" applyBorder="1" applyAlignment="1">
      <alignment horizontal="center" vertical="center" wrapText="1"/>
    </xf>
  </cellXfs>
  <cellStyles count="4">
    <cellStyle name="Excel Built-in 60% - Accent1" xfId="3" xr:uid="{00000000-0005-0000-0000-000000000000}"/>
    <cellStyle name="Excel Built-in Accent1" xfId="2" xr:uid="{00000000-0005-0000-0000-000001000000}"/>
    <cellStyle name="Excel Built-in Accent3" xfId="1" xr:uid="{00000000-0005-0000-0000-000002000000}"/>
    <cellStyle name="Normal" xfId="0" builtinId="0"/>
  </cellStyles>
  <dxfs count="35">
    <dxf>
      <font>
        <color rgb="FFE7E6E6"/>
      </font>
    </dxf>
    <dxf>
      <font>
        <color rgb="FFE7E6E6"/>
      </font>
    </dxf>
    <dxf>
      <font>
        <b/>
        <i val="0"/>
      </font>
      <fill>
        <patternFill>
          <bgColor rgb="FFC5E0B4"/>
        </patternFill>
      </fill>
    </dxf>
    <dxf>
      <font>
        <b/>
        <i val="0"/>
      </font>
      <fill>
        <patternFill>
          <bgColor rgb="FFC5E0B4"/>
        </patternFill>
      </fill>
    </dxf>
    <dxf>
      <font>
        <color rgb="FFE7E6E6"/>
      </font>
    </dxf>
    <dxf>
      <font>
        <b/>
        <i val="0"/>
      </font>
      <fill>
        <patternFill>
          <bgColor rgb="FFC5E0B4"/>
        </patternFill>
      </fill>
    </dxf>
    <dxf>
      <font>
        <b/>
        <i val="0"/>
      </font>
      <fill>
        <patternFill>
          <bgColor rgb="FFC5E0B4"/>
        </patternFill>
      </fill>
    </dxf>
    <dxf>
      <font>
        <color rgb="FFE7E6E6"/>
      </font>
    </dxf>
    <dxf>
      <font>
        <b/>
        <i val="0"/>
      </font>
      <fill>
        <patternFill>
          <bgColor rgb="FFC5E0B4"/>
        </patternFill>
      </fill>
    </dxf>
    <dxf>
      <font>
        <color rgb="FFE7E6E6"/>
      </font>
    </dxf>
    <dxf>
      <font>
        <b/>
        <i val="0"/>
      </font>
      <fill>
        <patternFill>
          <bgColor rgb="FFC5E0B4"/>
        </patternFill>
      </fill>
    </dxf>
    <dxf>
      <font>
        <color rgb="FFE7E6E6"/>
      </font>
    </dxf>
    <dxf>
      <font>
        <color rgb="FFE7E6E6"/>
      </font>
    </dxf>
    <dxf>
      <font>
        <b/>
        <i val="0"/>
      </font>
      <fill>
        <patternFill>
          <bgColor rgb="FFC5E0B4"/>
        </patternFill>
      </fill>
    </dxf>
    <dxf>
      <font>
        <sz val="11"/>
        <color rgb="FF000000"/>
        <name val="Calibri"/>
      </font>
      <alignment horizontal="general" vertical="bottom" textRotation="0" wrapText="0" indent="0" shrinkToFit="0"/>
    </dxf>
    <dxf>
      <font>
        <color rgb="FFE7E6E6"/>
      </font>
    </dxf>
    <dxf>
      <font>
        <b/>
        <i val="0"/>
      </font>
      <fill>
        <patternFill>
          <bgColor rgb="FFC5E0B4"/>
        </patternFill>
      </fill>
    </dxf>
    <dxf>
      <font>
        <color rgb="FFE7E6E6"/>
      </font>
    </dxf>
    <dxf>
      <font>
        <b/>
        <i val="0"/>
      </font>
      <fill>
        <patternFill>
          <bgColor rgb="FFC5E0B4"/>
        </patternFill>
      </fill>
    </dxf>
    <dxf>
      <font>
        <color rgb="FFE7E6E6"/>
      </font>
    </dxf>
    <dxf>
      <font>
        <b/>
        <i val="0"/>
      </font>
      <fill>
        <patternFill>
          <bgColor rgb="FFC5E0B4"/>
        </patternFill>
      </fill>
    </dxf>
    <dxf>
      <font>
        <color rgb="FFE7E6E6"/>
      </font>
    </dxf>
    <dxf>
      <font>
        <b/>
        <i val="0"/>
      </font>
      <fill>
        <patternFill>
          <bgColor rgb="FFC5E0B4"/>
        </patternFill>
      </fill>
    </dxf>
    <dxf>
      <font>
        <color rgb="FFE7E6E6"/>
      </font>
    </dxf>
    <dxf>
      <font>
        <b/>
        <i val="0"/>
      </font>
      <fill>
        <patternFill>
          <bgColor rgb="FFC5E0B4"/>
        </patternFill>
      </fill>
    </dxf>
    <dxf>
      <font>
        <color rgb="FFE7E6E6"/>
      </font>
    </dxf>
    <dxf>
      <font>
        <b/>
        <i val="0"/>
      </font>
      <fill>
        <patternFill>
          <bgColor rgb="FFC5E0B4"/>
        </patternFill>
      </fill>
    </dxf>
    <dxf>
      <font>
        <b/>
        <i val="0"/>
      </font>
      <fill>
        <patternFill>
          <bgColor rgb="FFC5E0B4"/>
        </patternFill>
      </fill>
    </dxf>
    <dxf>
      <font>
        <color rgb="FFE7E6E6"/>
      </font>
    </dxf>
    <dxf>
      <font>
        <color rgb="FFE7E6E6"/>
      </font>
    </dxf>
    <dxf>
      <font>
        <b/>
        <i val="0"/>
      </font>
      <fill>
        <patternFill>
          <bgColor rgb="FFC5E0B4"/>
        </patternFill>
      </fill>
    </dxf>
    <dxf>
      <font>
        <sz val="11"/>
        <color rgb="FF000000"/>
        <name val="Calibri"/>
      </font>
      <alignment horizontal="general" vertical="bottom" textRotation="0" wrapText="0" indent="0" shrinkToFit="0"/>
    </dxf>
    <dxf>
      <font>
        <sz val="11"/>
        <color rgb="FF000000"/>
        <name val="Calibri"/>
      </font>
      <alignment horizontal="general" vertical="bottom" textRotation="0" wrapText="0" indent="0" shrinkToFit="0"/>
    </dxf>
    <dxf>
      <font>
        <color rgb="FFE7E6E6"/>
      </font>
    </dxf>
    <dxf>
      <font>
        <b/>
        <i val="0"/>
      </font>
      <fill>
        <patternFill>
          <bgColor rgb="FFC5E0B4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0</xdr:colOff>
      <xdr:row>6</xdr:row>
      <xdr:rowOff>759960</xdr:rowOff>
    </xdr:from>
    <xdr:to>
      <xdr:col>10</xdr:col>
      <xdr:colOff>49320</xdr:colOff>
      <xdr:row>7</xdr:row>
      <xdr:rowOff>9120</xdr:rowOff>
    </xdr:to>
    <xdr:pic>
      <xdr:nvPicPr>
        <xdr:cNvPr id="2" name="Entrada de lápiz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17068800" y="7189335"/>
          <a:ext cx="49320" cy="11160"/>
        </a:xfrm>
        <a:prstGeom prst="rect">
          <a:avLst/>
        </a:prstGeom>
        <a:ln w="0">
          <a:noFill/>
        </a:ln>
      </xdr:spPr>
    </xdr:pic>
    <xdr:clientData/>
  </xdr:twoCellAnchor>
  <xdr:twoCellAnchor>
    <xdr:from>
      <xdr:col>10</xdr:col>
      <xdr:colOff>0</xdr:colOff>
      <xdr:row>6</xdr:row>
      <xdr:rowOff>759960</xdr:rowOff>
    </xdr:from>
    <xdr:to>
      <xdr:col>10</xdr:col>
      <xdr:colOff>44280</xdr:colOff>
      <xdr:row>6</xdr:row>
      <xdr:rowOff>771120</xdr:rowOff>
    </xdr:to>
    <xdr:pic>
      <xdr:nvPicPr>
        <xdr:cNvPr id="3" name="Entrada de lápiz 2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17068800" y="7189335"/>
          <a:ext cx="44280" cy="11160"/>
        </a:xfrm>
        <a:prstGeom prst="rect">
          <a:avLst/>
        </a:prstGeom>
        <a:ln w="0">
          <a:noFill/>
        </a:ln>
      </xdr:spPr>
    </xdr:pic>
    <xdr:clientData/>
  </xdr:twoCellAnchor>
  <xdr:twoCellAnchor>
    <xdr:from>
      <xdr:col>10</xdr:col>
      <xdr:colOff>0</xdr:colOff>
      <xdr:row>7</xdr:row>
      <xdr:rowOff>759600</xdr:rowOff>
    </xdr:from>
    <xdr:to>
      <xdr:col>10</xdr:col>
      <xdr:colOff>44280</xdr:colOff>
      <xdr:row>7</xdr:row>
      <xdr:rowOff>770760</xdr:rowOff>
    </xdr:to>
    <xdr:pic>
      <xdr:nvPicPr>
        <xdr:cNvPr id="4" name="Entrada de lápiz 2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17068800" y="8084325"/>
          <a:ext cx="44280" cy="11160"/>
        </a:xfrm>
        <a:prstGeom prst="rect">
          <a:avLst/>
        </a:prstGeom>
        <a:ln w="0">
          <a:noFill/>
        </a:ln>
      </xdr:spPr>
    </xdr:pic>
    <xdr:clientData/>
  </xdr:twoCellAnchor>
  <xdr:twoCellAnchor>
    <xdr:from>
      <xdr:col>10</xdr:col>
      <xdr:colOff>0</xdr:colOff>
      <xdr:row>7</xdr:row>
      <xdr:rowOff>759600</xdr:rowOff>
    </xdr:from>
    <xdr:to>
      <xdr:col>10</xdr:col>
      <xdr:colOff>44280</xdr:colOff>
      <xdr:row>7</xdr:row>
      <xdr:rowOff>770760</xdr:rowOff>
    </xdr:to>
    <xdr:pic>
      <xdr:nvPicPr>
        <xdr:cNvPr id="5" name="Entrada de lápiz 2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17068800" y="8084325"/>
          <a:ext cx="44280" cy="11160"/>
        </a:xfrm>
        <a:prstGeom prst="rect">
          <a:avLst/>
        </a:prstGeom>
        <a:ln w="0">
          <a:noFill/>
        </a:ln>
      </xdr:spPr>
    </xdr:pic>
    <xdr:clientData/>
  </xdr:twoCellAnchor>
  <xdr:twoCellAnchor>
    <xdr:from>
      <xdr:col>10</xdr:col>
      <xdr:colOff>0</xdr:colOff>
      <xdr:row>8</xdr:row>
      <xdr:rowOff>759960</xdr:rowOff>
    </xdr:from>
    <xdr:to>
      <xdr:col>10</xdr:col>
      <xdr:colOff>44280</xdr:colOff>
      <xdr:row>8</xdr:row>
      <xdr:rowOff>771120</xdr:rowOff>
    </xdr:to>
    <xdr:pic>
      <xdr:nvPicPr>
        <xdr:cNvPr id="6" name="Entrada de lápiz 2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17068800" y="9075285"/>
          <a:ext cx="44280" cy="11160"/>
        </a:xfrm>
        <a:prstGeom prst="rect">
          <a:avLst/>
        </a:prstGeom>
        <a:ln w="0">
          <a:noFill/>
        </a:ln>
      </xdr:spPr>
    </xdr:pic>
    <xdr:clientData/>
  </xdr:twoCellAnchor>
  <xdr:twoCellAnchor>
    <xdr:from>
      <xdr:col>10</xdr:col>
      <xdr:colOff>0</xdr:colOff>
      <xdr:row>8</xdr:row>
      <xdr:rowOff>759960</xdr:rowOff>
    </xdr:from>
    <xdr:to>
      <xdr:col>10</xdr:col>
      <xdr:colOff>44280</xdr:colOff>
      <xdr:row>8</xdr:row>
      <xdr:rowOff>771120</xdr:rowOff>
    </xdr:to>
    <xdr:pic>
      <xdr:nvPicPr>
        <xdr:cNvPr id="7" name="Entrada de lápiz 2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17068800" y="9075285"/>
          <a:ext cx="44280" cy="11160"/>
        </a:xfrm>
        <a:prstGeom prst="rect">
          <a:avLst/>
        </a:prstGeom>
        <a:ln w="0">
          <a:noFill/>
        </a:ln>
      </xdr:spPr>
    </xdr:pic>
    <xdr:clientData/>
  </xdr:twoCellAnchor>
  <xdr:twoCellAnchor>
    <xdr:from>
      <xdr:col>10</xdr:col>
      <xdr:colOff>0</xdr:colOff>
      <xdr:row>9</xdr:row>
      <xdr:rowOff>759600</xdr:rowOff>
    </xdr:from>
    <xdr:to>
      <xdr:col>10</xdr:col>
      <xdr:colOff>44280</xdr:colOff>
      <xdr:row>9</xdr:row>
      <xdr:rowOff>770760</xdr:rowOff>
    </xdr:to>
    <xdr:pic>
      <xdr:nvPicPr>
        <xdr:cNvPr id="8" name="Entrada de lápiz 2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17068800" y="10084575"/>
          <a:ext cx="44280" cy="11160"/>
        </a:xfrm>
        <a:prstGeom prst="rect">
          <a:avLst/>
        </a:prstGeom>
        <a:ln w="0">
          <a:noFill/>
        </a:ln>
      </xdr:spPr>
    </xdr:pic>
    <xdr:clientData/>
  </xdr:twoCellAnchor>
  <xdr:twoCellAnchor>
    <xdr:from>
      <xdr:col>10</xdr:col>
      <xdr:colOff>0</xdr:colOff>
      <xdr:row>9</xdr:row>
      <xdr:rowOff>759600</xdr:rowOff>
    </xdr:from>
    <xdr:to>
      <xdr:col>10</xdr:col>
      <xdr:colOff>44280</xdr:colOff>
      <xdr:row>9</xdr:row>
      <xdr:rowOff>770760</xdr:rowOff>
    </xdr:to>
    <xdr:pic>
      <xdr:nvPicPr>
        <xdr:cNvPr id="9" name="Entrada de lápiz 2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17068800" y="10084575"/>
          <a:ext cx="44280" cy="11160"/>
        </a:xfrm>
        <a:prstGeom prst="rect">
          <a:avLst/>
        </a:prstGeom>
        <a:ln w="0">
          <a:noFill/>
        </a:ln>
      </xdr:spPr>
    </xdr:pic>
    <xdr:clientData/>
  </xdr:twoCellAnchor>
  <xdr:twoCellAnchor>
    <xdr:from>
      <xdr:col>10</xdr:col>
      <xdr:colOff>0</xdr:colOff>
      <xdr:row>10</xdr:row>
      <xdr:rowOff>759960</xdr:rowOff>
    </xdr:from>
    <xdr:to>
      <xdr:col>10</xdr:col>
      <xdr:colOff>44280</xdr:colOff>
      <xdr:row>10</xdr:row>
      <xdr:rowOff>771120</xdr:rowOff>
    </xdr:to>
    <xdr:pic>
      <xdr:nvPicPr>
        <xdr:cNvPr id="10" name="Entrada de lápiz 2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17068800" y="11161260"/>
          <a:ext cx="44280" cy="11160"/>
        </a:xfrm>
        <a:prstGeom prst="rect">
          <a:avLst/>
        </a:prstGeom>
        <a:ln w="0">
          <a:noFill/>
        </a:ln>
      </xdr:spPr>
    </xdr:pic>
    <xdr:clientData/>
  </xdr:twoCellAnchor>
  <xdr:twoCellAnchor>
    <xdr:from>
      <xdr:col>10</xdr:col>
      <xdr:colOff>0</xdr:colOff>
      <xdr:row>10</xdr:row>
      <xdr:rowOff>759960</xdr:rowOff>
    </xdr:from>
    <xdr:to>
      <xdr:col>10</xdr:col>
      <xdr:colOff>44280</xdr:colOff>
      <xdr:row>10</xdr:row>
      <xdr:rowOff>771120</xdr:rowOff>
    </xdr:to>
    <xdr:pic>
      <xdr:nvPicPr>
        <xdr:cNvPr id="11" name="Entrada de lápiz 2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17068800" y="11161260"/>
          <a:ext cx="44280" cy="11160"/>
        </a:xfrm>
        <a:prstGeom prst="rect">
          <a:avLst/>
        </a:prstGeom>
        <a:ln w="0">
          <a:noFill/>
        </a:ln>
      </xdr:spPr>
    </xdr:pic>
    <xdr:clientData/>
  </xdr:twoCellAnchor>
  <xdr:twoCellAnchor>
    <xdr:from>
      <xdr:col>10</xdr:col>
      <xdr:colOff>0</xdr:colOff>
      <xdr:row>11</xdr:row>
      <xdr:rowOff>759600</xdr:rowOff>
    </xdr:from>
    <xdr:to>
      <xdr:col>10</xdr:col>
      <xdr:colOff>44280</xdr:colOff>
      <xdr:row>11</xdr:row>
      <xdr:rowOff>770760</xdr:rowOff>
    </xdr:to>
    <xdr:pic>
      <xdr:nvPicPr>
        <xdr:cNvPr id="12" name="Entrada de lápiz 2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17068800" y="12446775"/>
          <a:ext cx="44280" cy="11160"/>
        </a:xfrm>
        <a:prstGeom prst="rect">
          <a:avLst/>
        </a:prstGeom>
        <a:ln w="0">
          <a:noFill/>
        </a:ln>
      </xdr:spPr>
    </xdr:pic>
    <xdr:clientData/>
  </xdr:twoCellAnchor>
  <xdr:twoCellAnchor>
    <xdr:from>
      <xdr:col>10</xdr:col>
      <xdr:colOff>0</xdr:colOff>
      <xdr:row>11</xdr:row>
      <xdr:rowOff>759600</xdr:rowOff>
    </xdr:from>
    <xdr:to>
      <xdr:col>10</xdr:col>
      <xdr:colOff>44280</xdr:colOff>
      <xdr:row>11</xdr:row>
      <xdr:rowOff>770760</xdr:rowOff>
    </xdr:to>
    <xdr:pic>
      <xdr:nvPicPr>
        <xdr:cNvPr id="13" name="Entrada de lápiz 2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17068800" y="12446775"/>
          <a:ext cx="44280" cy="11160"/>
        </a:xfrm>
        <a:prstGeom prst="rect">
          <a:avLst/>
        </a:prstGeom>
        <a:ln w="0">
          <a:noFill/>
        </a:ln>
      </xdr:spPr>
    </xdr:pic>
    <xdr:clientData/>
  </xdr:twoCellAnchor>
  <xdr:twoCellAnchor>
    <xdr:from>
      <xdr:col>10</xdr:col>
      <xdr:colOff>0</xdr:colOff>
      <xdr:row>12</xdr:row>
      <xdr:rowOff>759960</xdr:rowOff>
    </xdr:from>
    <xdr:to>
      <xdr:col>10</xdr:col>
      <xdr:colOff>44280</xdr:colOff>
      <xdr:row>12</xdr:row>
      <xdr:rowOff>771120</xdr:rowOff>
    </xdr:to>
    <xdr:pic>
      <xdr:nvPicPr>
        <xdr:cNvPr id="14" name="Entrada de lápiz 2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17068800" y="13532985"/>
          <a:ext cx="44280" cy="11160"/>
        </a:xfrm>
        <a:prstGeom prst="rect">
          <a:avLst/>
        </a:prstGeom>
        <a:ln w="0">
          <a:noFill/>
        </a:ln>
      </xdr:spPr>
    </xdr:pic>
    <xdr:clientData/>
  </xdr:twoCellAnchor>
  <xdr:twoCellAnchor>
    <xdr:from>
      <xdr:col>10</xdr:col>
      <xdr:colOff>0</xdr:colOff>
      <xdr:row>12</xdr:row>
      <xdr:rowOff>759960</xdr:rowOff>
    </xdr:from>
    <xdr:to>
      <xdr:col>10</xdr:col>
      <xdr:colOff>44280</xdr:colOff>
      <xdr:row>12</xdr:row>
      <xdr:rowOff>771120</xdr:rowOff>
    </xdr:to>
    <xdr:pic>
      <xdr:nvPicPr>
        <xdr:cNvPr id="15" name="Entrada de lápiz 2"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17068800" y="13532985"/>
          <a:ext cx="44280" cy="11160"/>
        </a:xfrm>
        <a:prstGeom prst="rect">
          <a:avLst/>
        </a:prstGeom>
        <a:ln w="0">
          <a:noFill/>
        </a:ln>
      </xdr:spPr>
    </xdr:pic>
    <xdr:clientData/>
  </xdr:twoCellAnchor>
  <xdr:twoCellAnchor>
    <xdr:from>
      <xdr:col>10</xdr:col>
      <xdr:colOff>0</xdr:colOff>
      <xdr:row>13</xdr:row>
      <xdr:rowOff>360</xdr:rowOff>
    </xdr:from>
    <xdr:to>
      <xdr:col>10</xdr:col>
      <xdr:colOff>44280</xdr:colOff>
      <xdr:row>13</xdr:row>
      <xdr:rowOff>11520</xdr:rowOff>
    </xdr:to>
    <xdr:pic>
      <xdr:nvPicPr>
        <xdr:cNvPr id="16" name="Entrada de lápiz 2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17068800" y="14211660"/>
          <a:ext cx="44280" cy="11160"/>
        </a:xfrm>
        <a:prstGeom prst="rect">
          <a:avLst/>
        </a:prstGeom>
        <a:ln w="0">
          <a:noFill/>
        </a:ln>
      </xdr:spPr>
    </xdr:pic>
    <xdr:clientData/>
  </xdr:twoCellAnchor>
  <xdr:twoCellAnchor>
    <xdr:from>
      <xdr:col>10</xdr:col>
      <xdr:colOff>0</xdr:colOff>
      <xdr:row>13</xdr:row>
      <xdr:rowOff>360</xdr:rowOff>
    </xdr:from>
    <xdr:to>
      <xdr:col>10</xdr:col>
      <xdr:colOff>44280</xdr:colOff>
      <xdr:row>13</xdr:row>
      <xdr:rowOff>11520</xdr:rowOff>
    </xdr:to>
    <xdr:pic>
      <xdr:nvPicPr>
        <xdr:cNvPr id="17" name="Entrada de lápiz 2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17068800" y="14211660"/>
          <a:ext cx="44280" cy="11160"/>
        </a:xfrm>
        <a:prstGeom prst="rect">
          <a:avLst/>
        </a:prstGeom>
        <a:ln w="0">
          <a:noFill/>
        </a:ln>
      </xdr:spPr>
    </xdr:pic>
    <xdr:clientData/>
  </xdr:twoCellAnchor>
  <xdr:twoCellAnchor>
    <xdr:from>
      <xdr:col>10</xdr:col>
      <xdr:colOff>0</xdr:colOff>
      <xdr:row>13</xdr:row>
      <xdr:rowOff>759960</xdr:rowOff>
    </xdr:from>
    <xdr:to>
      <xdr:col>10</xdr:col>
      <xdr:colOff>44280</xdr:colOff>
      <xdr:row>13</xdr:row>
      <xdr:rowOff>771120</xdr:rowOff>
    </xdr:to>
    <xdr:pic>
      <xdr:nvPicPr>
        <xdr:cNvPr id="18" name="Entrada de lápiz 2">
          <a:extLst>
            <a:ext uri="{FF2B5EF4-FFF2-40B4-BE49-F238E27FC236}">
              <a16:creationId xmlns:a16="http://schemas.microsoft.com/office/drawing/2014/main" id="{00000000-0008-0000-0000-000015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17068800" y="14971260"/>
          <a:ext cx="44280" cy="11160"/>
        </a:xfrm>
        <a:prstGeom prst="rect">
          <a:avLst/>
        </a:prstGeom>
        <a:ln w="0">
          <a:noFill/>
        </a:ln>
      </xdr:spPr>
    </xdr:pic>
    <xdr:clientData/>
  </xdr:twoCellAnchor>
  <xdr:twoCellAnchor>
    <xdr:from>
      <xdr:col>10</xdr:col>
      <xdr:colOff>0</xdr:colOff>
      <xdr:row>13</xdr:row>
      <xdr:rowOff>759960</xdr:rowOff>
    </xdr:from>
    <xdr:to>
      <xdr:col>10</xdr:col>
      <xdr:colOff>44280</xdr:colOff>
      <xdr:row>13</xdr:row>
      <xdr:rowOff>771120</xdr:rowOff>
    </xdr:to>
    <xdr:pic>
      <xdr:nvPicPr>
        <xdr:cNvPr id="19" name="Entrada de lápiz 2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17068800" y="14971260"/>
          <a:ext cx="44280" cy="11160"/>
        </a:xfrm>
        <a:prstGeom prst="rect">
          <a:avLst/>
        </a:prstGeom>
        <a:ln w="0">
          <a:noFill/>
        </a:ln>
      </xdr:spPr>
    </xdr:pic>
    <xdr:clientData/>
  </xdr:twoCellAnchor>
  <xdr:twoCellAnchor>
    <xdr:from>
      <xdr:col>10</xdr:col>
      <xdr:colOff>0</xdr:colOff>
      <xdr:row>14</xdr:row>
      <xdr:rowOff>759960</xdr:rowOff>
    </xdr:from>
    <xdr:to>
      <xdr:col>10</xdr:col>
      <xdr:colOff>44280</xdr:colOff>
      <xdr:row>14</xdr:row>
      <xdr:rowOff>771120</xdr:rowOff>
    </xdr:to>
    <xdr:pic>
      <xdr:nvPicPr>
        <xdr:cNvPr id="20" name="Entrada de lápiz 2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17068800" y="16323810"/>
          <a:ext cx="44280" cy="11160"/>
        </a:xfrm>
        <a:prstGeom prst="rect">
          <a:avLst/>
        </a:prstGeom>
        <a:ln w="0">
          <a:noFill/>
        </a:ln>
      </xdr:spPr>
    </xdr:pic>
    <xdr:clientData/>
  </xdr:twoCellAnchor>
  <xdr:twoCellAnchor>
    <xdr:from>
      <xdr:col>10</xdr:col>
      <xdr:colOff>0</xdr:colOff>
      <xdr:row>14</xdr:row>
      <xdr:rowOff>759960</xdr:rowOff>
    </xdr:from>
    <xdr:to>
      <xdr:col>10</xdr:col>
      <xdr:colOff>44280</xdr:colOff>
      <xdr:row>14</xdr:row>
      <xdr:rowOff>771120</xdr:rowOff>
    </xdr:to>
    <xdr:pic>
      <xdr:nvPicPr>
        <xdr:cNvPr id="21" name="Entrada de lápiz 2">
          <a:extLst>
            <a:ext uri="{FF2B5EF4-FFF2-40B4-BE49-F238E27FC236}">
              <a16:creationId xmlns:a16="http://schemas.microsoft.com/office/drawing/2014/main" id="{00000000-0008-0000-0000-000018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17068800" y="16323810"/>
          <a:ext cx="44280" cy="11160"/>
        </a:xfrm>
        <a:prstGeom prst="rect">
          <a:avLst/>
        </a:prstGeom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31"/>
  <sheetViews>
    <sheetView tabSelected="1" topLeftCell="A2" zoomScale="85" zoomScaleNormal="85" workbookViewId="0">
      <selection activeCell="B4" sqref="B4"/>
    </sheetView>
  </sheetViews>
  <sheetFormatPr baseColWidth="10" defaultColWidth="9" defaultRowHeight="14.4" x14ac:dyDescent="0.3"/>
  <cols>
    <col min="1" max="1" width="24.5546875" customWidth="1"/>
    <col min="2" max="2" width="37.109375" customWidth="1"/>
    <col min="3" max="3" width="36" customWidth="1"/>
    <col min="4" max="4" width="10.109375" customWidth="1"/>
    <col min="5" max="5" width="36" customWidth="1"/>
    <col min="6" max="6" width="14.44140625" customWidth="1"/>
    <col min="7" max="7" width="36" customWidth="1"/>
    <col min="8" max="8" width="11.5546875" customWidth="1"/>
    <col min="9" max="9" width="37" customWidth="1"/>
    <col min="10" max="10" width="13.109375" customWidth="1"/>
    <col min="11" max="11" width="61.88671875" customWidth="1"/>
  </cols>
  <sheetData>
    <row r="1" spans="1:11" ht="13.65" customHeight="1" thickBot="1" x14ac:dyDescent="0.35">
      <c r="A1" s="13" t="s">
        <v>0</v>
      </c>
      <c r="B1" s="13"/>
      <c r="C1" s="15" t="s">
        <v>1</v>
      </c>
      <c r="D1" s="15"/>
      <c r="E1" s="15"/>
      <c r="F1" s="15"/>
      <c r="G1" s="15"/>
      <c r="H1" s="1"/>
      <c r="I1" s="1"/>
      <c r="J1" s="1"/>
      <c r="K1" s="16" t="s">
        <v>2</v>
      </c>
    </row>
    <row r="2" spans="1:11" ht="44.25" customHeight="1" x14ac:dyDescent="0.3">
      <c r="A2" s="14"/>
      <c r="B2" s="14"/>
      <c r="C2" s="17" t="s">
        <v>3</v>
      </c>
      <c r="D2" s="18"/>
      <c r="E2" s="17" t="s">
        <v>4</v>
      </c>
      <c r="F2" s="18"/>
      <c r="G2" s="17" t="s">
        <v>5</v>
      </c>
      <c r="H2" s="18"/>
      <c r="I2" s="2" t="s">
        <v>6</v>
      </c>
      <c r="J2" s="2"/>
      <c r="K2" s="16"/>
    </row>
    <row r="3" spans="1:11" ht="27.6" x14ac:dyDescent="0.3">
      <c r="A3" s="19" t="s">
        <v>37</v>
      </c>
      <c r="B3" s="3" t="s">
        <v>7</v>
      </c>
      <c r="C3" s="4" t="s">
        <v>8</v>
      </c>
      <c r="D3" s="5">
        <v>-3</v>
      </c>
      <c r="E3" s="4" t="s">
        <v>9</v>
      </c>
      <c r="F3" s="5"/>
      <c r="G3" s="4" t="s">
        <v>10</v>
      </c>
      <c r="H3" s="5">
        <v>-0.5</v>
      </c>
      <c r="I3" s="4" t="s">
        <v>11</v>
      </c>
      <c r="J3" s="5">
        <v>0</v>
      </c>
      <c r="K3" s="4"/>
    </row>
    <row r="4" spans="1:11" ht="27.6" x14ac:dyDescent="0.3">
      <c r="A4" s="20"/>
      <c r="B4" s="3" t="s">
        <v>54</v>
      </c>
      <c r="C4" s="4" t="s">
        <v>12</v>
      </c>
      <c r="D4" s="6">
        <v>0</v>
      </c>
      <c r="E4" s="4" t="s">
        <v>40</v>
      </c>
      <c r="F4" s="6">
        <v>0.5</v>
      </c>
      <c r="G4" s="4" t="s">
        <v>45</v>
      </c>
      <c r="H4" s="6">
        <v>0.75</v>
      </c>
      <c r="I4" s="4" t="s">
        <v>13</v>
      </c>
      <c r="J4" s="6">
        <v>1</v>
      </c>
      <c r="K4" s="4"/>
    </row>
    <row r="5" spans="1:11" ht="27.6" x14ac:dyDescent="0.3">
      <c r="A5" s="21"/>
      <c r="B5" s="3" t="s">
        <v>14</v>
      </c>
      <c r="C5" s="4" t="s">
        <v>43</v>
      </c>
      <c r="D5" s="6">
        <v>-10</v>
      </c>
      <c r="E5" s="4" t="s">
        <v>41</v>
      </c>
      <c r="F5" s="6">
        <v>-5</v>
      </c>
      <c r="G5" s="4" t="s">
        <v>46</v>
      </c>
      <c r="H5" s="6">
        <v>-2</v>
      </c>
      <c r="I5" s="4" t="s">
        <v>47</v>
      </c>
      <c r="J5" s="6">
        <v>0</v>
      </c>
      <c r="K5" s="4"/>
    </row>
    <row r="6" spans="1:11" x14ac:dyDescent="0.3">
      <c r="A6" s="19" t="s">
        <v>35</v>
      </c>
      <c r="B6" s="3" t="s">
        <v>15</v>
      </c>
      <c r="C6" s="4" t="s">
        <v>16</v>
      </c>
      <c r="D6" s="5">
        <v>0</v>
      </c>
      <c r="E6" s="4" t="s">
        <v>17</v>
      </c>
      <c r="F6" s="5">
        <f>J6/3</f>
        <v>6.6666666666666666E-2</v>
      </c>
      <c r="G6" s="4" t="s">
        <v>18</v>
      </c>
      <c r="H6" s="5">
        <f>J6*2/3</f>
        <v>0.13333333333333333</v>
      </c>
      <c r="I6" s="4" t="s">
        <v>19</v>
      </c>
      <c r="J6" s="7">
        <v>0.2</v>
      </c>
      <c r="K6" s="4"/>
    </row>
    <row r="7" spans="1:11" x14ac:dyDescent="0.3">
      <c r="A7" s="20"/>
      <c r="B7" s="3" t="s">
        <v>48</v>
      </c>
      <c r="C7" s="4" t="s">
        <v>16</v>
      </c>
      <c r="D7" s="5">
        <v>0</v>
      </c>
      <c r="E7" s="4" t="s">
        <v>17</v>
      </c>
      <c r="F7" s="5">
        <f t="shared" ref="F7:F30" si="0">J7/3</f>
        <v>6.6666666666666666E-2</v>
      </c>
      <c r="G7" s="4" t="s">
        <v>18</v>
      </c>
      <c r="H7" s="5">
        <f t="shared" ref="H7:H30" si="1">J7*2/3</f>
        <v>0.13333333333333333</v>
      </c>
      <c r="I7" s="4" t="s">
        <v>19</v>
      </c>
      <c r="J7" s="7">
        <v>0.2</v>
      </c>
      <c r="K7" s="4"/>
    </row>
    <row r="8" spans="1:11" ht="27.6" x14ac:dyDescent="0.3">
      <c r="A8" s="20"/>
      <c r="B8" s="3" t="s">
        <v>20</v>
      </c>
      <c r="C8" s="4" t="s">
        <v>16</v>
      </c>
      <c r="D8" s="5">
        <v>0</v>
      </c>
      <c r="E8" s="4" t="s">
        <v>17</v>
      </c>
      <c r="F8" s="5">
        <f t="shared" si="0"/>
        <v>6.6666666666666666E-2</v>
      </c>
      <c r="G8" s="4" t="s">
        <v>18</v>
      </c>
      <c r="H8" s="5">
        <f t="shared" si="1"/>
        <v>0.13333333333333333</v>
      </c>
      <c r="I8" s="4" t="s">
        <v>19</v>
      </c>
      <c r="J8" s="7">
        <v>0.2</v>
      </c>
      <c r="K8" s="8"/>
    </row>
    <row r="9" spans="1:11" ht="27.6" x14ac:dyDescent="0.3">
      <c r="A9" s="20"/>
      <c r="B9" s="3" t="s">
        <v>49</v>
      </c>
      <c r="C9" s="4" t="s">
        <v>16</v>
      </c>
      <c r="D9" s="5">
        <v>0</v>
      </c>
      <c r="E9" s="4" t="s">
        <v>17</v>
      </c>
      <c r="F9" s="5">
        <f t="shared" si="0"/>
        <v>6.6666666666666666E-2</v>
      </c>
      <c r="G9" s="4" t="s">
        <v>18</v>
      </c>
      <c r="H9" s="5">
        <f t="shared" si="1"/>
        <v>0.13333333333333333</v>
      </c>
      <c r="I9" s="4" t="s">
        <v>19</v>
      </c>
      <c r="J9" s="7">
        <v>0.2</v>
      </c>
      <c r="K9" s="8"/>
    </row>
    <row r="10" spans="1:11" ht="55.2" x14ac:dyDescent="0.3">
      <c r="A10" s="20"/>
      <c r="B10" s="3" t="s">
        <v>21</v>
      </c>
      <c r="C10" s="4" t="s">
        <v>16</v>
      </c>
      <c r="D10" s="5">
        <v>0</v>
      </c>
      <c r="E10" s="4" t="s">
        <v>17</v>
      </c>
      <c r="F10" s="5">
        <f t="shared" si="0"/>
        <v>9.9999999999999992E-2</v>
      </c>
      <c r="G10" s="4" t="s">
        <v>18</v>
      </c>
      <c r="H10" s="5">
        <f t="shared" si="1"/>
        <v>0.19999999999999998</v>
      </c>
      <c r="I10" s="4" t="s">
        <v>19</v>
      </c>
      <c r="J10" s="7">
        <v>0.3</v>
      </c>
      <c r="K10" s="8"/>
    </row>
    <row r="11" spans="1:11" ht="27.6" x14ac:dyDescent="0.3">
      <c r="A11" s="20"/>
      <c r="B11" s="3" t="s">
        <v>22</v>
      </c>
      <c r="C11" s="4" t="s">
        <v>16</v>
      </c>
      <c r="D11" s="5">
        <v>0</v>
      </c>
      <c r="E11" s="4" t="s">
        <v>17</v>
      </c>
      <c r="F11" s="5">
        <f t="shared" si="0"/>
        <v>6.6666666666666666E-2</v>
      </c>
      <c r="G11" s="4" t="s">
        <v>18</v>
      </c>
      <c r="H11" s="5">
        <f t="shared" si="1"/>
        <v>0.13333333333333333</v>
      </c>
      <c r="I11" s="4" t="s">
        <v>19</v>
      </c>
      <c r="J11" s="7">
        <v>0.2</v>
      </c>
      <c r="K11" s="8"/>
    </row>
    <row r="12" spans="1:11" ht="27.6" x14ac:dyDescent="0.3">
      <c r="A12" s="20"/>
      <c r="B12" s="3" t="s">
        <v>23</v>
      </c>
      <c r="C12" s="4" t="s">
        <v>16</v>
      </c>
      <c r="D12" s="5">
        <v>0</v>
      </c>
      <c r="E12" s="4" t="s">
        <v>17</v>
      </c>
      <c r="F12" s="5">
        <f t="shared" si="0"/>
        <v>9.9999999999999992E-2</v>
      </c>
      <c r="G12" s="4" t="s">
        <v>18</v>
      </c>
      <c r="H12" s="5">
        <f t="shared" si="1"/>
        <v>0.19999999999999998</v>
      </c>
      <c r="I12" s="4" t="s">
        <v>19</v>
      </c>
      <c r="J12" s="7">
        <v>0.3</v>
      </c>
      <c r="K12" s="8"/>
    </row>
    <row r="13" spans="1:11" ht="41.4" x14ac:dyDescent="0.3">
      <c r="A13" s="20"/>
      <c r="B13" s="3" t="s">
        <v>50</v>
      </c>
      <c r="C13" s="4" t="s">
        <v>16</v>
      </c>
      <c r="D13" s="5">
        <v>0</v>
      </c>
      <c r="E13" s="4" t="s">
        <v>17</v>
      </c>
      <c r="F13" s="5">
        <f t="shared" si="0"/>
        <v>6.6666666666666666E-2</v>
      </c>
      <c r="G13" s="4" t="s">
        <v>18</v>
      </c>
      <c r="H13" s="5">
        <f t="shared" si="1"/>
        <v>0.13333333333333333</v>
      </c>
      <c r="I13" s="4" t="s">
        <v>19</v>
      </c>
      <c r="J13" s="7">
        <v>0.2</v>
      </c>
      <c r="K13" s="8"/>
    </row>
    <row r="14" spans="1:11" ht="27.6" x14ac:dyDescent="0.3">
      <c r="A14" s="21"/>
      <c r="B14" s="3" t="s">
        <v>51</v>
      </c>
      <c r="C14" s="4" t="s">
        <v>16</v>
      </c>
      <c r="D14" s="5">
        <v>0</v>
      </c>
      <c r="E14" s="4" t="s">
        <v>17</v>
      </c>
      <c r="F14" s="5">
        <f t="shared" si="0"/>
        <v>6.6666666666666666E-2</v>
      </c>
      <c r="G14" s="4" t="s">
        <v>18</v>
      </c>
      <c r="H14" s="5">
        <f t="shared" si="1"/>
        <v>0.13333333333333333</v>
      </c>
      <c r="I14" s="4" t="s">
        <v>19</v>
      </c>
      <c r="J14" s="7">
        <v>0.2</v>
      </c>
      <c r="K14" s="8"/>
    </row>
    <row r="15" spans="1:11" ht="69" x14ac:dyDescent="0.3">
      <c r="A15" s="19" t="s">
        <v>39</v>
      </c>
      <c r="B15" s="3" t="s">
        <v>38</v>
      </c>
      <c r="C15" s="4" t="s">
        <v>16</v>
      </c>
      <c r="D15" s="5">
        <v>0</v>
      </c>
      <c r="E15" s="4" t="s">
        <v>17</v>
      </c>
      <c r="F15" s="5">
        <f t="shared" si="0"/>
        <v>0.16666666666666666</v>
      </c>
      <c r="G15" s="4" t="s">
        <v>18</v>
      </c>
      <c r="H15" s="5">
        <f t="shared" si="1"/>
        <v>0.33333333333333331</v>
      </c>
      <c r="I15" s="4" t="s">
        <v>19</v>
      </c>
      <c r="J15" s="7">
        <v>0.5</v>
      </c>
      <c r="K15" s="8"/>
    </row>
    <row r="16" spans="1:11" x14ac:dyDescent="0.3">
      <c r="A16" s="20"/>
      <c r="B16" s="3" t="s">
        <v>31</v>
      </c>
      <c r="C16" s="4" t="s">
        <v>16</v>
      </c>
      <c r="D16" s="5">
        <v>0</v>
      </c>
      <c r="E16" s="4" t="s">
        <v>17</v>
      </c>
      <c r="F16" s="5">
        <f t="shared" si="0"/>
        <v>6.6666666666666666E-2</v>
      </c>
      <c r="G16" s="4" t="s">
        <v>18</v>
      </c>
      <c r="H16" s="5">
        <f t="shared" si="1"/>
        <v>0.13333333333333333</v>
      </c>
      <c r="I16" s="4" t="s">
        <v>19</v>
      </c>
      <c r="J16" s="7">
        <v>0.2</v>
      </c>
    </row>
    <row r="17" spans="1:10" x14ac:dyDescent="0.3">
      <c r="A17" s="20"/>
      <c r="B17" s="3" t="s">
        <v>24</v>
      </c>
      <c r="C17" s="4" t="s">
        <v>16</v>
      </c>
      <c r="D17" s="5">
        <v>0</v>
      </c>
      <c r="E17" s="4" t="s">
        <v>17</v>
      </c>
      <c r="F17" s="5">
        <f t="shared" si="0"/>
        <v>0.16666666666666666</v>
      </c>
      <c r="G17" s="4" t="s">
        <v>18</v>
      </c>
      <c r="H17" s="5">
        <f t="shared" si="1"/>
        <v>0.33333333333333331</v>
      </c>
      <c r="I17" s="4" t="s">
        <v>19</v>
      </c>
      <c r="J17" s="7">
        <v>0.5</v>
      </c>
    </row>
    <row r="18" spans="1:10" ht="27.6" x14ac:dyDescent="0.3">
      <c r="A18" s="20"/>
      <c r="B18" s="3" t="s">
        <v>52</v>
      </c>
      <c r="C18" s="4" t="s">
        <v>16</v>
      </c>
      <c r="D18" s="5">
        <v>0</v>
      </c>
      <c r="E18" s="4" t="s">
        <v>17</v>
      </c>
      <c r="F18" s="5">
        <f t="shared" si="0"/>
        <v>9.9999999999999992E-2</v>
      </c>
      <c r="G18" s="4" t="s">
        <v>18</v>
      </c>
      <c r="H18" s="5">
        <f t="shared" si="1"/>
        <v>0.19999999999999998</v>
      </c>
      <c r="I18" s="4" t="s">
        <v>19</v>
      </c>
      <c r="J18" s="7">
        <v>0.3</v>
      </c>
    </row>
    <row r="19" spans="1:10" ht="41.4" x14ac:dyDescent="0.3">
      <c r="A19" s="20"/>
      <c r="B19" s="3" t="s">
        <v>29</v>
      </c>
      <c r="C19" s="4" t="s">
        <v>16</v>
      </c>
      <c r="D19" s="5">
        <v>0</v>
      </c>
      <c r="E19" s="4" t="s">
        <v>17</v>
      </c>
      <c r="F19" s="5">
        <f t="shared" si="0"/>
        <v>0.16666666666666666</v>
      </c>
      <c r="G19" s="4" t="s">
        <v>18</v>
      </c>
      <c r="H19" s="5">
        <f t="shared" si="1"/>
        <v>0.33333333333333331</v>
      </c>
      <c r="I19" s="4" t="s">
        <v>19</v>
      </c>
      <c r="J19" s="7">
        <v>0.5</v>
      </c>
    </row>
    <row r="20" spans="1:10" ht="27.6" x14ac:dyDescent="0.3">
      <c r="A20" s="20"/>
      <c r="B20" s="3" t="s">
        <v>32</v>
      </c>
      <c r="C20" s="4" t="s">
        <v>16</v>
      </c>
      <c r="D20" s="5">
        <v>0</v>
      </c>
      <c r="E20" s="4" t="s">
        <v>17</v>
      </c>
      <c r="F20" s="5">
        <f t="shared" si="0"/>
        <v>0.16666666666666666</v>
      </c>
      <c r="G20" s="4" t="s">
        <v>18</v>
      </c>
      <c r="H20" s="5">
        <f t="shared" si="1"/>
        <v>0.33333333333333331</v>
      </c>
      <c r="I20" s="4" t="s">
        <v>19</v>
      </c>
      <c r="J20" s="7">
        <v>0.5</v>
      </c>
    </row>
    <row r="21" spans="1:10" ht="27.6" x14ac:dyDescent="0.3">
      <c r="A21" s="21"/>
      <c r="B21" s="3" t="s">
        <v>30</v>
      </c>
      <c r="C21" s="4" t="s">
        <v>16</v>
      </c>
      <c r="D21" s="5">
        <v>0</v>
      </c>
      <c r="E21" s="4" t="s">
        <v>17</v>
      </c>
      <c r="F21" s="5">
        <f t="shared" si="0"/>
        <v>0.16666666666666666</v>
      </c>
      <c r="G21" s="4" t="s">
        <v>18</v>
      </c>
      <c r="H21" s="5">
        <f t="shared" si="1"/>
        <v>0.33333333333333331</v>
      </c>
      <c r="I21" s="4" t="s">
        <v>19</v>
      </c>
      <c r="J21" s="7">
        <v>0.5</v>
      </c>
    </row>
    <row r="22" spans="1:10" ht="41.4" x14ac:dyDescent="0.3">
      <c r="A22" s="24" t="s">
        <v>28</v>
      </c>
      <c r="B22" s="3" t="s">
        <v>33</v>
      </c>
      <c r="C22" s="4" t="s">
        <v>16</v>
      </c>
      <c r="D22" s="5">
        <v>0</v>
      </c>
      <c r="E22" s="4" t="s">
        <v>17</v>
      </c>
      <c r="F22" s="5">
        <f t="shared" si="0"/>
        <v>0.16666666666666666</v>
      </c>
      <c r="G22" s="4" t="s">
        <v>18</v>
      </c>
      <c r="H22" s="5">
        <f t="shared" si="1"/>
        <v>0.33333333333333331</v>
      </c>
      <c r="I22" s="4" t="s">
        <v>19</v>
      </c>
      <c r="J22" s="7">
        <v>0.5</v>
      </c>
    </row>
    <row r="23" spans="1:10" x14ac:dyDescent="0.3">
      <c r="A23" s="25"/>
      <c r="B23" s="3" t="s">
        <v>31</v>
      </c>
      <c r="C23" s="4" t="s">
        <v>16</v>
      </c>
      <c r="D23" s="5">
        <v>0</v>
      </c>
      <c r="E23" s="4" t="s">
        <v>17</v>
      </c>
      <c r="F23" s="5">
        <f t="shared" si="0"/>
        <v>6.6666666666666666E-2</v>
      </c>
      <c r="G23" s="4" t="s">
        <v>18</v>
      </c>
      <c r="H23" s="5">
        <f t="shared" si="1"/>
        <v>0.13333333333333333</v>
      </c>
      <c r="I23" s="4" t="s">
        <v>19</v>
      </c>
      <c r="J23" s="7">
        <v>0.2</v>
      </c>
    </row>
    <row r="24" spans="1:10" x14ac:dyDescent="0.3">
      <c r="A24" s="25"/>
      <c r="B24" s="3" t="s">
        <v>24</v>
      </c>
      <c r="C24" s="4" t="s">
        <v>16</v>
      </c>
      <c r="D24" s="5">
        <v>0</v>
      </c>
      <c r="E24" s="4" t="s">
        <v>17</v>
      </c>
      <c r="F24" s="5">
        <f t="shared" si="0"/>
        <v>0.16666666666666666</v>
      </c>
      <c r="G24" s="4" t="s">
        <v>18</v>
      </c>
      <c r="H24" s="5">
        <f t="shared" si="1"/>
        <v>0.33333333333333331</v>
      </c>
      <c r="I24" s="4" t="s">
        <v>19</v>
      </c>
      <c r="J24" s="7">
        <v>0.5</v>
      </c>
    </row>
    <row r="25" spans="1:10" x14ac:dyDescent="0.3">
      <c r="A25" s="25"/>
      <c r="B25" s="3" t="s">
        <v>53</v>
      </c>
      <c r="C25" s="4" t="s">
        <v>16</v>
      </c>
      <c r="D25" s="5">
        <v>0</v>
      </c>
      <c r="E25" s="4" t="s">
        <v>17</v>
      </c>
      <c r="F25" s="5">
        <f t="shared" si="0"/>
        <v>9.9999999999999992E-2</v>
      </c>
      <c r="G25" s="4" t="s">
        <v>18</v>
      </c>
      <c r="H25" s="5">
        <f t="shared" si="1"/>
        <v>0.19999999999999998</v>
      </c>
      <c r="I25" s="4" t="s">
        <v>19</v>
      </c>
      <c r="J25" s="7">
        <v>0.3</v>
      </c>
    </row>
    <row r="26" spans="1:10" ht="41.4" x14ac:dyDescent="0.3">
      <c r="A26" s="25"/>
      <c r="B26" s="3" t="s">
        <v>29</v>
      </c>
      <c r="C26" s="4" t="s">
        <v>16</v>
      </c>
      <c r="D26" s="5">
        <v>0</v>
      </c>
      <c r="E26" s="4" t="s">
        <v>17</v>
      </c>
      <c r="F26" s="5">
        <f t="shared" si="0"/>
        <v>0.16666666666666666</v>
      </c>
      <c r="G26" s="4" t="s">
        <v>18</v>
      </c>
      <c r="H26" s="5">
        <f t="shared" si="1"/>
        <v>0.33333333333333331</v>
      </c>
      <c r="I26" s="4" t="s">
        <v>19</v>
      </c>
      <c r="J26" s="7">
        <v>0.5</v>
      </c>
    </row>
    <row r="27" spans="1:10" ht="27.6" x14ac:dyDescent="0.3">
      <c r="A27" s="25"/>
      <c r="B27" s="3" t="s">
        <v>32</v>
      </c>
      <c r="C27" s="4" t="s">
        <v>16</v>
      </c>
      <c r="D27" s="5">
        <v>0</v>
      </c>
      <c r="E27" s="4" t="s">
        <v>17</v>
      </c>
      <c r="F27" s="5">
        <f t="shared" si="0"/>
        <v>0.16666666666666666</v>
      </c>
      <c r="G27" s="4" t="s">
        <v>18</v>
      </c>
      <c r="H27" s="5">
        <f t="shared" si="1"/>
        <v>0.33333333333333331</v>
      </c>
      <c r="I27" s="4" t="s">
        <v>19</v>
      </c>
      <c r="J27" s="7">
        <v>0.5</v>
      </c>
    </row>
    <row r="28" spans="1:10" ht="27.6" x14ac:dyDescent="0.3">
      <c r="A28" s="26"/>
      <c r="B28" s="3" t="s">
        <v>34</v>
      </c>
      <c r="C28" s="4" t="s">
        <v>16</v>
      </c>
      <c r="D28" s="5">
        <v>0</v>
      </c>
      <c r="E28" s="4" t="s">
        <v>17</v>
      </c>
      <c r="F28" s="5">
        <v>0.05</v>
      </c>
      <c r="G28" s="4" t="s">
        <v>18</v>
      </c>
      <c r="H28" s="5">
        <v>0.1</v>
      </c>
      <c r="I28" s="4" t="s">
        <v>19</v>
      </c>
      <c r="J28" s="7">
        <v>0.5</v>
      </c>
    </row>
    <row r="29" spans="1:10" ht="27.6" x14ac:dyDescent="0.3">
      <c r="A29" s="22" t="s">
        <v>36</v>
      </c>
      <c r="B29" s="3" t="s">
        <v>25</v>
      </c>
      <c r="C29" s="4" t="s">
        <v>42</v>
      </c>
      <c r="D29" s="5">
        <v>0</v>
      </c>
      <c r="E29" s="4" t="s">
        <v>44</v>
      </c>
      <c r="F29" s="5">
        <f t="shared" si="0"/>
        <v>0.33333333333333331</v>
      </c>
      <c r="G29" s="4" t="s">
        <v>18</v>
      </c>
      <c r="H29" s="5">
        <f t="shared" si="1"/>
        <v>0.66666666666666663</v>
      </c>
      <c r="I29" s="4" t="s">
        <v>19</v>
      </c>
      <c r="J29" s="7">
        <v>1</v>
      </c>
    </row>
    <row r="30" spans="1:10" ht="27.6" x14ac:dyDescent="0.3">
      <c r="A30" s="23"/>
      <c r="B30" s="3" t="s">
        <v>26</v>
      </c>
      <c r="C30" s="4" t="s">
        <v>42</v>
      </c>
      <c r="D30" s="5">
        <v>0</v>
      </c>
      <c r="E30" s="4" t="s">
        <v>44</v>
      </c>
      <c r="F30" s="5">
        <f t="shared" si="0"/>
        <v>0.33333333333333331</v>
      </c>
      <c r="G30" s="4" t="s">
        <v>18</v>
      </c>
      <c r="H30" s="5">
        <f t="shared" si="1"/>
        <v>0.66666666666666663</v>
      </c>
      <c r="I30" s="9" t="s">
        <v>19</v>
      </c>
      <c r="J30" s="10">
        <v>1</v>
      </c>
    </row>
    <row r="31" spans="1:10" ht="15" customHeight="1" x14ac:dyDescent="0.3">
      <c r="I31" s="11" t="s">
        <v>27</v>
      </c>
      <c r="J31" s="12">
        <f>SUM(J4:J30)</f>
        <v>11</v>
      </c>
    </row>
  </sheetData>
  <mergeCells count="11">
    <mergeCell ref="A3:A5"/>
    <mergeCell ref="A6:A14"/>
    <mergeCell ref="A15:A21"/>
    <mergeCell ref="A29:A30"/>
    <mergeCell ref="A22:A28"/>
    <mergeCell ref="A1:B2"/>
    <mergeCell ref="C1:G1"/>
    <mergeCell ref="K1:K2"/>
    <mergeCell ref="C2:D2"/>
    <mergeCell ref="E2:F2"/>
    <mergeCell ref="G2:H2"/>
  </mergeCells>
  <conditionalFormatting sqref="C3:C30">
    <cfRule type="expression" dxfId="34" priority="1">
      <formula>(#REF!=$G$2)</formula>
    </cfRule>
    <cfRule type="expression" dxfId="33" priority="2">
      <formula>(#REF!&lt;&gt;$G$2)</formula>
    </cfRule>
  </conditionalFormatting>
  <conditionalFormatting sqref="C6:F30">
    <cfRule type="expression" dxfId="32" priority="10">
      <formula>(#REF!="")</formula>
    </cfRule>
  </conditionalFormatting>
  <conditionalFormatting sqref="C3:J5">
    <cfRule type="expression" dxfId="31" priority="33">
      <formula>(#REF!="")</formula>
    </cfRule>
  </conditionalFormatting>
  <conditionalFormatting sqref="D3:D30">
    <cfRule type="expression" dxfId="30" priority="3">
      <formula>(#REF!=$C$2)</formula>
    </cfRule>
    <cfRule type="expression" dxfId="29" priority="4">
      <formula>(#REF!&lt;&gt;$C$2)</formula>
    </cfRule>
  </conditionalFormatting>
  <conditionalFormatting sqref="E6:E30">
    <cfRule type="expression" dxfId="28" priority="9">
      <formula>(#REF!&lt;&gt;$G$2)</formula>
    </cfRule>
    <cfRule type="expression" dxfId="27" priority="8">
      <formula>(#REF!=$G$2)</formula>
    </cfRule>
  </conditionalFormatting>
  <conditionalFormatting sqref="E3:F5">
    <cfRule type="expression" dxfId="26" priority="38">
      <formula>(#REF!=#REF!)</formula>
    </cfRule>
    <cfRule type="expression" dxfId="25" priority="39">
      <formula>(#REF!&lt;&gt;#REF!)</formula>
    </cfRule>
    <cfRule type="expression" dxfId="24" priority="34">
      <formula>(#REF!=$E$2)</formula>
    </cfRule>
    <cfRule type="expression" dxfId="23" priority="35">
      <formula>(#REF!&lt;&gt;$E$2)</formula>
    </cfRule>
  </conditionalFormatting>
  <conditionalFormatting sqref="F4:F5">
    <cfRule type="expression" dxfId="22" priority="27">
      <formula>(#REF!=$C$2)</formula>
    </cfRule>
    <cfRule type="expression" dxfId="21" priority="28">
      <formula>(#REF!&lt;&gt;$C$2)</formula>
    </cfRule>
  </conditionalFormatting>
  <conditionalFormatting sqref="F6:F30">
    <cfRule type="expression" dxfId="20" priority="11">
      <formula>(#REF!=$E$2)</formula>
    </cfRule>
    <cfRule type="expression" dxfId="19" priority="12">
      <formula>(#REF!&lt;&gt;$E$2)</formula>
    </cfRule>
    <cfRule type="expression" dxfId="18" priority="13">
      <formula>(#REF!=#REF!)</formula>
    </cfRule>
    <cfRule type="expression" dxfId="17" priority="14">
      <formula>(#REF!&lt;&gt;#REF!)</formula>
    </cfRule>
  </conditionalFormatting>
  <conditionalFormatting sqref="G6:G30 I6:I30">
    <cfRule type="expression" dxfId="16" priority="5">
      <formula>(#REF!=$G$2)</formula>
    </cfRule>
    <cfRule type="expression" dxfId="15" priority="6">
      <formula>(#REF!&lt;&gt;$G$2)</formula>
    </cfRule>
    <cfRule type="expression" dxfId="14" priority="7">
      <formula>(#REF!="")</formula>
    </cfRule>
  </conditionalFormatting>
  <conditionalFormatting sqref="G3:J5">
    <cfRule type="expression" dxfId="13" priority="36">
      <formula>(#REF!=$G$2)</formula>
    </cfRule>
    <cfRule type="expression" dxfId="12" priority="37">
      <formula>(#REF!&lt;&gt;$G$2)</formula>
    </cfRule>
  </conditionalFormatting>
  <conditionalFormatting sqref="H4:H5">
    <cfRule type="expression" dxfId="11" priority="22">
      <formula>(#REF!&lt;&gt;$C$2)</formula>
    </cfRule>
    <cfRule type="expression" dxfId="10" priority="23">
      <formula>(#REF!=$E$2)</formula>
    </cfRule>
    <cfRule type="expression" dxfId="9" priority="24">
      <formula>(#REF!&lt;&gt;$E$2)</formula>
    </cfRule>
    <cfRule type="expression" dxfId="8" priority="25">
      <formula>(#REF!=#REF!)</formula>
    </cfRule>
    <cfRule type="expression" dxfId="7" priority="26">
      <formula>(#REF!&lt;&gt;#REF!)</formula>
    </cfRule>
    <cfRule type="expression" dxfId="6" priority="21">
      <formula>(#REF!=$C$2)</formula>
    </cfRule>
  </conditionalFormatting>
  <conditionalFormatting sqref="J4:J5">
    <cfRule type="expression" dxfId="5" priority="15">
      <formula>(#REF!=$C$2)</formula>
    </cfRule>
    <cfRule type="expression" dxfId="4" priority="16">
      <formula>(#REF!&lt;&gt;$C$2)</formula>
    </cfRule>
    <cfRule type="expression" dxfId="3" priority="17">
      <formula>(#REF!=$E$2)</formula>
    </cfRule>
    <cfRule type="expression" dxfId="2" priority="19">
      <formula>(#REF!=#REF!)</formula>
    </cfRule>
    <cfRule type="expression" dxfId="1" priority="20">
      <formula>(#REF!&lt;&gt;#REF!)</formula>
    </cfRule>
    <cfRule type="expression" dxfId="0" priority="18">
      <formula>(#REF!&lt;&gt;$E$2)</formula>
    </cfRule>
  </conditionalFormatting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16D3F77D01B9E4DB6E9022CD85C89CB" ma:contentTypeVersion="12" ma:contentTypeDescription="Create a new document." ma:contentTypeScope="" ma:versionID="78a06972555a2d6eafd9a70d64531e57">
  <xsd:schema xmlns:xsd="http://www.w3.org/2001/XMLSchema" xmlns:xs="http://www.w3.org/2001/XMLSchema" xmlns:p="http://schemas.microsoft.com/office/2006/metadata/properties" xmlns:ns2="3cd1332b-2be7-40f1-9770-624e28d36e12" targetNamespace="http://schemas.microsoft.com/office/2006/metadata/properties" ma:root="true" ma:fieldsID="f920e7f3a07a28339a7d0afed969e474" ns2:_="">
    <xsd:import namespace="3cd1332b-2be7-40f1-9770-624e28d36e1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2:MediaServiceOCR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cd1332b-2be7-40f1-9770-624e28d36e1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17631b59-e624-4eb7-963c-219f14f887a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7" nillable="true" ma:displayName="Location" ma:indexed="true" ma:internalName="MediaServiceLocatio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cd1332b-2be7-40f1-9770-624e28d36e12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B6B75737-D647-4122-B177-0A34CDD795EF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BEB69758-F025-4C0F-A822-2A1817AF177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cd1332b-2be7-40f1-9770-624e28d36e1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C1C679BF-B8B7-45BC-AEE6-866AE4E22D32}">
  <ds:schemaRefs>
    <ds:schemaRef ds:uri="http://schemas.microsoft.com/office/2006/metadata/properties"/>
    <ds:schemaRef ds:uri="http://schemas.microsoft.com/office/infopath/2007/PartnerControls"/>
    <ds:schemaRef ds:uri="3cd1332b-2be7-40f1-9770-624e28d36e12"/>
  </ds:schemaRefs>
</ds:datastoreItem>
</file>

<file path=docMetadata/LabelInfo.xml><?xml version="1.0" encoding="utf-8"?>
<clbl:labelList xmlns:clbl="http://schemas.microsoft.com/office/2020/mipLabelMetadata">
  <clbl:label id="{0361ecad-3f61-4749-aa5c-87fde47ef9ad}" enabled="1" method="Privileged" siteId="{22c8b4a4-d926-43b2-bcc7-87b998590b47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Felipe</dc:creator>
  <cp:lastModifiedBy>Virginia López Sáenz</cp:lastModifiedBy>
  <dcterms:created xsi:type="dcterms:W3CDTF">2026-02-16T12:39:31Z</dcterms:created>
  <dcterms:modified xsi:type="dcterms:W3CDTF">2026-03-25T13:33:40Z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0x010100116D3F77D01B9E4DB6E9022CD85C89CB</vt:lpwstr>
  </property>
</Properties>
</file>