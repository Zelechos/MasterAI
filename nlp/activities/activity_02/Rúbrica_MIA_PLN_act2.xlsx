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fileSharing readOnlyRecommended="1"/>
  <workbookPr/>
  <mc:AlternateContent xmlns:mc="http://schemas.openxmlformats.org/markup-compatibility/2006">
    <mc:Choice Requires="x15">
      <x15ac:absPath xmlns:x15ac="http://schemas.microsoft.com/office/spreadsheetml/2010/11/ac" url="C:\Users\albag\Desktop\Rúbricas MU Inteligencia Artificial\00_ACTIVIDADES 1Q\muinar02_procesamiento_lenguaje_natural\"/>
    </mc:Choice>
  </mc:AlternateContent>
  <xr:revisionPtr revIDLastSave="0" documentId="13_ncr:1_{ED30BC59-264F-40C6-806A-F464F0A29A1E}" xr6:coauthVersionLast="47" xr6:coauthVersionMax="47" xr10:uidLastSave="{00000000-0000-0000-0000-000000000000}"/>
  <bookViews>
    <workbookView xWindow="-108" yWindow="-108" windowWidth="23256" windowHeight="12456" tabRatio="500" xr2:uid="{00000000-000D-0000-FFFF-FFFF00000000}"/>
  </bookViews>
  <sheets>
    <sheet name="Rúbric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 i="1" l="1"/>
  <c r="F4" i="1"/>
  <c r="J24" i="1"/>
  <c r="H23" i="1"/>
  <c r="H22" i="1"/>
  <c r="H21" i="1"/>
  <c r="H20" i="1"/>
  <c r="H19" i="1"/>
  <c r="H18" i="1"/>
  <c r="H17" i="1"/>
  <c r="H16" i="1"/>
  <c r="H15" i="1"/>
  <c r="H14" i="1"/>
  <c r="H13" i="1"/>
  <c r="H12" i="1"/>
  <c r="H11" i="1"/>
  <c r="H10" i="1"/>
  <c r="H9" i="1"/>
  <c r="H8" i="1"/>
  <c r="H7" i="1"/>
  <c r="H6" i="1"/>
  <c r="F23" i="1"/>
  <c r="F22" i="1"/>
  <c r="F21" i="1"/>
  <c r="F20" i="1"/>
  <c r="F19" i="1"/>
  <c r="F18" i="1"/>
  <c r="F17" i="1"/>
  <c r="F16" i="1"/>
  <c r="F15" i="1"/>
  <c r="F14" i="1"/>
  <c r="F13" i="1"/>
  <c r="F12" i="1"/>
  <c r="F11" i="1"/>
  <c r="F10" i="1"/>
  <c r="F9" i="1"/>
  <c r="F8" i="1"/>
  <c r="F7" i="1"/>
  <c r="F6" i="1"/>
  <c r="H5" i="1"/>
  <c r="F5" i="1"/>
</calcChain>
</file>

<file path=xl/sharedStrings.xml><?xml version="1.0" encoding="utf-8"?>
<sst xmlns="http://schemas.openxmlformats.org/spreadsheetml/2006/main" count="120" uniqueCount="80">
  <si>
    <t>CRITERIOS</t>
  </si>
  <si>
    <t>Comentarios (opcional)</t>
  </si>
  <si>
    <t>D (mínimo)</t>
  </si>
  <si>
    <t>C</t>
  </si>
  <si>
    <t>B</t>
  </si>
  <si>
    <t>A (máximo)</t>
  </si>
  <si>
    <t>No entrega el fichero</t>
  </si>
  <si>
    <t>ESTA OPCIÓN NO ES SELECCIONABLE</t>
  </si>
  <si>
    <t>Informe de la actividad</t>
  </si>
  <si>
    <t>Entrega el fichero con el informe, pero éste presenta deficiencias importantes de estructura o presentación.</t>
  </si>
  <si>
    <t>Entrega el fichero con el informe, que no tiene ninguna deficiencia de estructura o presentación.</t>
  </si>
  <si>
    <t>Uso de IA generativa (inclusión de norma de uso, uso no declarado, etc.)</t>
  </si>
  <si>
    <t>Las respuestas de la actividad se han realizadas mediante IA sin elaboración propia, con o sin declaración de uso.</t>
  </si>
  <si>
    <t xml:space="preserve"> Las respuestas de la actividad se han obtenido utilizando IA con cierta elaboración y sin añadir una declaración de uso.</t>
  </si>
  <si>
    <t xml:space="preserve"> Las respuestas de la actividad se han obtenido utilizando IA con cierta elaboración, pero se incluye una declaración de uso y hay cierta aportación personal.</t>
  </si>
  <si>
    <t>No se evidencia uso de IA; o  únicamente para ayuda a la redacción o traducción de textos y se incluye una declaración de uso.</t>
  </si>
  <si>
    <t>1. Utilizando el tokenizador de spacy, que ya conoces, calcula el número promedio de tokens de una muestra de 15 ficheros de la categoría «com.graphics». Indica el código utilizado y el resultado obtenido. (1 punto).</t>
  </si>
  <si>
    <t>Código proporcionado</t>
  </si>
  <si>
    <t>No se incluye el código para el recuento del promedio de tokens</t>
  </si>
  <si>
    <t>Se incluye el código para el recuento del promedio de tokens, pero el código presenta fallos graves</t>
  </si>
  <si>
    <t>Se incluye el código para el recuento del promedio de tokens, pero el código presenta fallos leves</t>
  </si>
  <si>
    <t>Se incluye el código para el recuento del promedio de tokens. El código es correcto y el resultado se muestra claramente</t>
  </si>
  <si>
    <t xml:space="preserve">Explicación
</t>
  </si>
  <si>
    <t>No se aporta explicación en el informe para este apartado o bien la explicación es incorrecta</t>
  </si>
  <si>
    <t>Se aporta explicación en el informe para este apartado. La idea base de la explicación es correcta, pero se presenta con carencias importantes</t>
  </si>
  <si>
    <t>Se aporta explicación en el informe para este apartado. La explicación es correcta, pero la redacción presenta carencias leves</t>
  </si>
  <si>
    <t>Se aporta explicación en el informe para este apartado. La explicación es correcta, y está presentada de forma clara y concisa.</t>
  </si>
  <si>
    <t>2. El código proporcionado lee los ficheros uno a uno y, antes de generar el catálogo de datos de entrenamiento y validación, descarta las diez primeras líneas de cada fichero. ¿Cuál es el trozo de código en el que se realiza dicho descarte?, ¿por qué crees que se descartan dichas líneas?, ¿por qué diez y no otro número? (1 punto).</t>
  </si>
  <si>
    <t>identificación del fragmento de código</t>
  </si>
  <si>
    <t>No se identifica el fragmento de código  o bien está identificado erróneamente</t>
  </si>
  <si>
    <t>Se identifica el fragmento de código, pero o bien se trata de una identificación ligeramente errónea o incompleta</t>
  </si>
  <si>
    <t>El fragmento de código está debidamente identificado</t>
  </si>
  <si>
    <t xml:space="preserve">explicación de por qué se descartan las líneas
</t>
  </si>
  <si>
    <t>Se aporta explicación en el informe para este apartado. La idea base de la explicación es válida, pero se presenta con carencias importantes</t>
  </si>
  <si>
    <t>Se aporta explicación en el informe para este apartado. La explicación es válida, con carencias leves</t>
  </si>
  <si>
    <t>Se aporta explicación en el informe para este apartado. La explicación es válida, y está presentada de forma clara y concisa.</t>
  </si>
  <si>
    <t>explicación de por qué 10 y no otro número
 (se debe tener en cuenta que aquí no hay una única respuesta correcta, sino que es una idea sujeta a interpretación)</t>
  </si>
  <si>
    <t>3. ¿Qué se controla con el parámetro validation_split?, ¿por qué se ha elegido ese valor?, ¿qué ocurre si lo modificas? (1 punto).</t>
  </si>
  <si>
    <t>¿Qué se controla con el parámetro validation_split?</t>
  </si>
  <si>
    <t>No aporta respuesta o bien ésta es completamente incorrecta</t>
  </si>
  <si>
    <t>Aporta una respuesta con una explicación genérica y superficial que no demuestra la comprensión del significado</t>
  </si>
  <si>
    <t>La respuesta demuestra que se comprende el significado del parámetro, pero se presentan errores leves</t>
  </si>
  <si>
    <t>La respuesta demuestra que se comprende el significado del parámetro y su importancia en el proceso de entrenamiento y validación</t>
  </si>
  <si>
    <t>¿por qué se ha elegido ese valor?</t>
  </si>
  <si>
    <t>¿qué ocurre si lo modificas?</t>
  </si>
  <si>
    <t>La respuesta demuestra que se comprende el significado del parámetro y su importancia en el proceso de entrenamiento y validación
La respuesta aportada es puramente teórica, no ha realizado prueba experimental.</t>
  </si>
  <si>
    <t>La respuesta demuestra que se comprende el significado del parámetro y su importancia en el proceso de entrenamiento y validación
Además ha realizado la prueba experimental.</t>
  </si>
  <si>
    <t>4. Imprime por pantalla un ejemplo (es decir, un elemento del array) de train_samples, val_samples, train_labels y val_labels. A tenor de las etiquetas que se utilizan, ¿qué tarea crees que se está intentando entrenar? (1 punto).</t>
  </si>
  <si>
    <t xml:space="preserve">¿qué tarea crees que se está intentando entrenar? </t>
  </si>
  <si>
    <t>Aporta una respuesta con una explicación genérica y superficial que no demuestra la comprensión de la repuesta</t>
  </si>
  <si>
    <t>La respuesta demuestra que se comprende la tarea que se está realizando, aunque se presenta con carencias leves.</t>
  </si>
  <si>
    <t>La respuesta demuestra que se comprende la tarea que se está realizando, y se presenta de forma clara y concisa</t>
  </si>
  <si>
    <t>5. Con output_sequence_length se establece un tamaño fijo para la salida de Vectorizer. ¿Por qué se necesita un tamaño fijo y por qué se ha elegido el valor 200? (1 punto).</t>
  </si>
  <si>
    <t>Explicación de necesidad de tamaño fijo</t>
  </si>
  <si>
    <t>Aporta una respuesta con una explicación insuficiente para explicar el motivo.</t>
  </si>
  <si>
    <t>La explicación demuestra comprensión de la respuesta aportada, aunque se presenta con carencias leves</t>
  </si>
  <si>
    <t>La explicación demuestra comprensión de la respuesta aportada, y se presenta de forma clara y concisa</t>
  </si>
  <si>
    <t>Explicación de elección del valor 200</t>
  </si>
  <si>
    <t>6.	Indica cuál es la precisión del modelo en el conjunto de datos de entrenamiento y en el conjunto de datos de validación. ¿Qué interpretación puedes dar? Haz, en este punto, un análisis comparativo de los dos modelos ejecutados (1.5 puntos).</t>
  </si>
  <si>
    <t>Identificación correcta de las métricas</t>
  </si>
  <si>
    <t>No se identifican las métricas adecuadas para interpretar el modelo, o bien la indentificación es errónea</t>
  </si>
  <si>
    <t>Se identifican las métricas adecuadamente</t>
  </si>
  <si>
    <t>Interpretación de los resultados</t>
  </si>
  <si>
    <t>Aporta una respuesta con una interpretación insuficiente.</t>
  </si>
  <si>
    <t>La interpretación aportada demuestra comprensión de la idea, aunque se presenta con carencias leves</t>
  </si>
  <si>
    <t>La interpretación aportada demuestra comprensión de la idea,  y se presenta de forma clara y concisa</t>
  </si>
  <si>
    <t>Análisis comparativo de modelos</t>
  </si>
  <si>
    <t>No aporta comparativa o ésta es completamente incorrecta</t>
  </si>
  <si>
    <t>7.	En la parte final del código se hace un análisis cualitativo de la salida. Explica el funcionamiento de este análisis e interpreta los resultados. Haz también, en este punto, un análisis comparativo de los dos modelos ejecutados (1 punto).</t>
  </si>
  <si>
    <t>Explicación del funcionamiento</t>
  </si>
  <si>
    <t>8.	Explica algunas de las limitaciones que puedes encontrar al modelo entrenado (1.5 puntos).</t>
  </si>
  <si>
    <t>Limitaciones aportadas</t>
  </si>
  <si>
    <t>No se aporta respuesta, o ésta es completamente incorrecta</t>
  </si>
  <si>
    <t>Se enumeran limitaciones, sin aportar explicación de éstas  o bien con una explicación errónea</t>
  </si>
  <si>
    <t>Se enumeran y explican limitaciones, aunque la explicación presenta carencias</t>
  </si>
  <si>
    <t>Se enumeran y explican limitaciones, y se presenta la respuesta de forma clara y concisa</t>
  </si>
  <si>
    <t>9.	¿Qué sería necesario para que este modelo pueda interpretar textos en español? (1 punto).</t>
  </si>
  <si>
    <t>Explicación</t>
  </si>
  <si>
    <t>Se indica una posible solución, sin aportar explicación o bien con una explicación errónea</t>
  </si>
  <si>
    <t>Se indica una posible solución y se explica adecuadamente, aunque la explicación presenta carencias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</si>
</sst>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
      <b/>
      <sz val="10"/>
      <color theme="1"/>
      <name val="Aptos Narrow"/>
      <family val="2"/>
      <scheme val="minor"/>
    </font>
  </fonts>
  <fills count="9">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
      <patternFill patternType="solid">
        <fgColor theme="2"/>
        <bgColor indexed="64"/>
      </patternFill>
    </fill>
  </fills>
  <borders count="17">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rgb="FF000000"/>
      </left>
      <right style="thin">
        <color rgb="FF000000"/>
      </right>
      <top/>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31">
    <xf numFmtId="0" fontId="0" fillId="0" borderId="0" xfId="0"/>
    <xf numFmtId="0" fontId="1" fillId="3" borderId="0" xfId="2" applyFont="1" applyBorder="1" applyAlignment="1" applyProtection="1">
      <alignment horizontal="center"/>
    </xf>
    <xf numFmtId="0" fontId="1" fillId="4" borderId="0" xfId="3" applyFont="1" applyBorder="1" applyAlignment="1" applyProtection="1">
      <alignment horizontal="center"/>
    </xf>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2" fontId="3" fillId="7" borderId="0" xfId="0" applyNumberFormat="1" applyFont="1" applyFill="1" applyAlignment="1">
      <alignment vertical="center" wrapText="1"/>
    </xf>
    <xf numFmtId="0" fontId="0" fillId="0" borderId="4" xfId="0" applyBorder="1"/>
    <xf numFmtId="2" fontId="3" fillId="7" borderId="11" xfId="0" applyNumberFormat="1" applyFont="1" applyFill="1" applyBorder="1" applyAlignment="1">
      <alignment vertical="center" wrapText="1"/>
    </xf>
    <xf numFmtId="0" fontId="3" fillId="7" borderId="12" xfId="0" applyFont="1" applyFill="1" applyBorder="1" applyAlignment="1">
      <alignment vertical="center" wrapText="1"/>
    </xf>
    <xf numFmtId="0" fontId="6" fillId="8" borderId="9" xfId="0" applyFont="1" applyFill="1" applyBorder="1" applyAlignment="1">
      <alignment vertical="center" wrapText="1"/>
    </xf>
    <xf numFmtId="2" fontId="0" fillId="0" borderId="0" xfId="0" applyNumberFormat="1"/>
    <xf numFmtId="0" fontId="3" fillId="0" borderId="4" xfId="0" applyFont="1" applyBorder="1" applyAlignment="1">
      <alignment vertical="center" wrapText="1"/>
    </xf>
    <xf numFmtId="2" fontId="3" fillId="0" borderId="4" xfId="0" applyNumberFormat="1" applyFont="1" applyBorder="1" applyAlignment="1">
      <alignment vertical="center" wrapText="1"/>
    </xf>
    <xf numFmtId="2" fontId="3" fillId="0" borderId="13" xfId="0" applyNumberFormat="1" applyFont="1" applyBorder="1" applyAlignment="1">
      <alignment vertical="center" wrapText="1"/>
    </xf>
    <xf numFmtId="0" fontId="6" fillId="8" borderId="8"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6" fillId="8" borderId="14"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3" fillId="6" borderId="4" xfId="0" applyFont="1" applyFill="1" applyBorder="1" applyAlignment="1">
      <alignment horizontal="center" vertical="center" wrapText="1"/>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9">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b/>
        <i val="0"/>
      </font>
      <fill>
        <patternFill>
          <bgColor rgb="FFC5E0B4"/>
        </patternFill>
      </fill>
    </dxf>
    <dxf>
      <font>
        <b/>
        <i val="0"/>
      </font>
      <fill>
        <patternFill>
          <bgColor rgb="FFC5E0B4"/>
        </patternFill>
      </fill>
    </dxf>
    <dxf>
      <font>
        <color rgb="FFE7E6E6"/>
      </font>
    </dxf>
    <dxf>
      <font>
        <color rgb="FFE7E6E6"/>
      </font>
    </dxf>
    <dxf>
      <font>
        <b/>
        <i val="0"/>
      </font>
      <fill>
        <patternFill>
          <bgColor rgb="FFC5E0B4"/>
        </patternFill>
      </fill>
    </dxf>
    <dxf>
      <font>
        <b/>
        <i val="0"/>
      </font>
      <fill>
        <patternFill>
          <bgColor rgb="FFC5E0B4"/>
        </patternFill>
      </fill>
    </dxf>
    <dxf>
      <font>
        <color rgb="FFE7E6E6"/>
      </font>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
      <font>
        <color rgb="FFE7E6E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759960</xdr:rowOff>
    </xdr:from>
    <xdr:to>
      <xdr:col>10</xdr:col>
      <xdr:colOff>49320</xdr:colOff>
      <xdr:row>5</xdr:row>
      <xdr:rowOff>771120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5</xdr:row>
      <xdr:rowOff>759960</xdr:rowOff>
    </xdr:from>
    <xdr:to>
      <xdr:col>10</xdr:col>
      <xdr:colOff>44280</xdr:colOff>
      <xdr:row>5</xdr:row>
      <xdr:rowOff>771120</xdr:rowOff>
    </xdr:to>
    <xdr:pic>
      <xdr:nvPicPr>
        <xdr:cNvPr id="6" name="Entrada de lápiz 2">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15810120" y="4843440"/>
          <a:ext cx="44280" cy="11160"/>
        </a:xfrm>
        <a:prstGeom prst="rect">
          <a:avLst/>
        </a:prstGeom>
        <a:ln w="0">
          <a:noFill/>
        </a:ln>
      </xdr:spPr>
    </xdr:pic>
    <xdr:clientData/>
  </xdr:twoCellAnchor>
  <xdr:twoCellAnchor>
    <xdr:from>
      <xdr:col>10</xdr:col>
      <xdr:colOff>0</xdr:colOff>
      <xdr:row>6</xdr:row>
      <xdr:rowOff>759600</xdr:rowOff>
    </xdr:from>
    <xdr:to>
      <xdr:col>10</xdr:col>
      <xdr:colOff>44280</xdr:colOff>
      <xdr:row>6</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6</xdr:row>
      <xdr:rowOff>759600</xdr:rowOff>
    </xdr:from>
    <xdr:to>
      <xdr:col>10</xdr:col>
      <xdr:colOff>44280</xdr:colOff>
      <xdr:row>6</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9" name="Entrada de lápiz 2">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10" name="Entrada de lápiz 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11" name="Entrada de lápiz 2">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12" name="Entrada de lápiz 2">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5" name="Entrada de lápiz 2">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6" name="Entrada de lápiz 2">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7" name="Entrada de lápiz 2">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8" name="Entrada de lápiz 2">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12</xdr:row>
      <xdr:rowOff>360</xdr:rowOff>
    </xdr:from>
    <xdr:to>
      <xdr:col>10</xdr:col>
      <xdr:colOff>44280</xdr:colOff>
      <xdr:row>12</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12</xdr:row>
      <xdr:rowOff>360</xdr:rowOff>
    </xdr:from>
    <xdr:to>
      <xdr:col>10</xdr:col>
      <xdr:colOff>44280</xdr:colOff>
      <xdr:row>12</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12</xdr:row>
      <xdr:rowOff>759960</xdr:rowOff>
    </xdr:from>
    <xdr:to>
      <xdr:col>10</xdr:col>
      <xdr:colOff>44280</xdr:colOff>
      <xdr:row>12</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12</xdr:row>
      <xdr:rowOff>759960</xdr:rowOff>
    </xdr:from>
    <xdr:to>
      <xdr:col>10</xdr:col>
      <xdr:colOff>44280</xdr:colOff>
      <xdr:row>12</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23" name="Entrada de lápiz 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24" name="Entrada de lápiz 2">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3" name="Entrada de lápiz 2">
          <a:extLst>
            <a:ext uri="{FF2B5EF4-FFF2-40B4-BE49-F238E27FC236}">
              <a16:creationId xmlns:a16="http://schemas.microsoft.com/office/drawing/2014/main" id="{D5AAF8EA-80AD-462C-A6DE-B8FD860526ED}"/>
            </a:ext>
            <a:ext uri="{147F2762-F138-4A5C-976F-8EAC2B608ADB}">
              <a16:predDERef xmlns:a16="http://schemas.microsoft.com/office/drawing/2014/main" pred="{00000000-0008-0000-0000-000018000000}"/>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4" name="Entrada de lápiz 2">
          <a:extLst>
            <a:ext uri="{FF2B5EF4-FFF2-40B4-BE49-F238E27FC236}">
              <a16:creationId xmlns:a16="http://schemas.microsoft.com/office/drawing/2014/main" id="{96D65368-C717-4CC1-BCD6-6FEF45BE8B6E}"/>
            </a:ext>
            <a:ext uri="{147F2762-F138-4A5C-976F-8EAC2B608ADB}">
              <a16:predDERef xmlns:a16="http://schemas.microsoft.com/office/drawing/2014/main" pred="{D5AAF8EA-80AD-462C-A6DE-B8FD860526ED}"/>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5" name="Entrada de lápiz 2">
          <a:extLst>
            <a:ext uri="{FF2B5EF4-FFF2-40B4-BE49-F238E27FC236}">
              <a16:creationId xmlns:a16="http://schemas.microsoft.com/office/drawing/2014/main" id="{5F9C83D8-266A-47CD-B3DB-59CE91CBDC6F}"/>
            </a:ext>
            <a:ext uri="{147F2762-F138-4A5C-976F-8EAC2B608ADB}">
              <a16:predDERef xmlns:a16="http://schemas.microsoft.com/office/drawing/2014/main" pred="{96D65368-C717-4CC1-BCD6-6FEF45BE8B6E}"/>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25" name="Entrada de lápiz 2">
          <a:extLst>
            <a:ext uri="{FF2B5EF4-FFF2-40B4-BE49-F238E27FC236}">
              <a16:creationId xmlns:a16="http://schemas.microsoft.com/office/drawing/2014/main" id="{AA5CBA51-E9E3-461E-B319-127F52A8C9F2}"/>
            </a:ext>
            <a:ext uri="{147F2762-F138-4A5C-976F-8EAC2B608ADB}">
              <a16:predDERef xmlns:a16="http://schemas.microsoft.com/office/drawing/2014/main" pred="{5F9C83D8-266A-47CD-B3DB-59CE91CBDC6F}"/>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16</xdr:row>
      <xdr:rowOff>759960</xdr:rowOff>
    </xdr:from>
    <xdr:to>
      <xdr:col>10</xdr:col>
      <xdr:colOff>44280</xdr:colOff>
      <xdr:row>16</xdr:row>
      <xdr:rowOff>771120</xdr:rowOff>
    </xdr:to>
    <xdr:pic>
      <xdr:nvPicPr>
        <xdr:cNvPr id="26" name="Entrada de lápiz 2">
          <a:extLst>
            <a:ext uri="{FF2B5EF4-FFF2-40B4-BE49-F238E27FC236}">
              <a16:creationId xmlns:a16="http://schemas.microsoft.com/office/drawing/2014/main" id="{CD692378-6CF6-476F-8443-103BA4B53CC2}"/>
            </a:ext>
            <a:ext uri="{147F2762-F138-4A5C-976F-8EAC2B608ADB}">
              <a16:predDERef xmlns:a16="http://schemas.microsoft.com/office/drawing/2014/main" pred="{AA5CBA51-E9E3-461E-B319-127F52A8C9F2}"/>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16</xdr:row>
      <xdr:rowOff>759960</xdr:rowOff>
    </xdr:from>
    <xdr:to>
      <xdr:col>10</xdr:col>
      <xdr:colOff>44280</xdr:colOff>
      <xdr:row>16</xdr:row>
      <xdr:rowOff>771120</xdr:rowOff>
    </xdr:to>
    <xdr:pic>
      <xdr:nvPicPr>
        <xdr:cNvPr id="27" name="Entrada de lápiz 2">
          <a:extLst>
            <a:ext uri="{FF2B5EF4-FFF2-40B4-BE49-F238E27FC236}">
              <a16:creationId xmlns:a16="http://schemas.microsoft.com/office/drawing/2014/main" id="{15B5F53E-36CC-4E35-9270-1291F375B386}"/>
            </a:ext>
            <a:ext uri="{147F2762-F138-4A5C-976F-8EAC2B608ADB}">
              <a16:predDERef xmlns:a16="http://schemas.microsoft.com/office/drawing/2014/main" pred="{CD692378-6CF6-476F-8443-103BA4B53CC2}"/>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17</xdr:row>
      <xdr:rowOff>759960</xdr:rowOff>
    </xdr:from>
    <xdr:to>
      <xdr:col>10</xdr:col>
      <xdr:colOff>44280</xdr:colOff>
      <xdr:row>17</xdr:row>
      <xdr:rowOff>771120</xdr:rowOff>
    </xdr:to>
    <xdr:pic>
      <xdr:nvPicPr>
        <xdr:cNvPr id="28" name="Entrada de lápiz 2">
          <a:extLst>
            <a:ext uri="{FF2B5EF4-FFF2-40B4-BE49-F238E27FC236}">
              <a16:creationId xmlns:a16="http://schemas.microsoft.com/office/drawing/2014/main" id="{DBA21423-9E23-40A3-9655-26EF4DC4F8FC}"/>
            </a:ext>
            <a:ext uri="{147F2762-F138-4A5C-976F-8EAC2B608ADB}">
              <a16:predDERef xmlns:a16="http://schemas.microsoft.com/office/drawing/2014/main" pred="{15B5F53E-36CC-4E35-9270-1291F375B386}"/>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17</xdr:row>
      <xdr:rowOff>759960</xdr:rowOff>
    </xdr:from>
    <xdr:to>
      <xdr:col>10</xdr:col>
      <xdr:colOff>44280</xdr:colOff>
      <xdr:row>17</xdr:row>
      <xdr:rowOff>771120</xdr:rowOff>
    </xdr:to>
    <xdr:pic>
      <xdr:nvPicPr>
        <xdr:cNvPr id="29" name="Entrada de lápiz 2">
          <a:extLst>
            <a:ext uri="{FF2B5EF4-FFF2-40B4-BE49-F238E27FC236}">
              <a16:creationId xmlns:a16="http://schemas.microsoft.com/office/drawing/2014/main" id="{440CD949-D475-42F2-8688-D8F1B8770FCF}"/>
            </a:ext>
            <a:ext uri="{147F2762-F138-4A5C-976F-8EAC2B608ADB}">
              <a16:predDERef xmlns:a16="http://schemas.microsoft.com/office/drawing/2014/main" pred="{DBA21423-9E23-40A3-9655-26EF4DC4F8FC}"/>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18</xdr:row>
      <xdr:rowOff>759960</xdr:rowOff>
    </xdr:from>
    <xdr:to>
      <xdr:col>10</xdr:col>
      <xdr:colOff>44280</xdr:colOff>
      <xdr:row>18</xdr:row>
      <xdr:rowOff>771120</xdr:rowOff>
    </xdr:to>
    <xdr:pic>
      <xdr:nvPicPr>
        <xdr:cNvPr id="30" name="Entrada de lápiz 2">
          <a:extLst>
            <a:ext uri="{FF2B5EF4-FFF2-40B4-BE49-F238E27FC236}">
              <a16:creationId xmlns:a16="http://schemas.microsoft.com/office/drawing/2014/main" id="{9E60D9E2-18A8-477D-822F-5322A2691926}"/>
            </a:ext>
            <a:ext uri="{147F2762-F138-4A5C-976F-8EAC2B608ADB}">
              <a16:predDERef xmlns:a16="http://schemas.microsoft.com/office/drawing/2014/main" pred="{440CD949-D475-42F2-8688-D8F1B8770FCF}"/>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18</xdr:row>
      <xdr:rowOff>759960</xdr:rowOff>
    </xdr:from>
    <xdr:to>
      <xdr:col>10</xdr:col>
      <xdr:colOff>44280</xdr:colOff>
      <xdr:row>18</xdr:row>
      <xdr:rowOff>771120</xdr:rowOff>
    </xdr:to>
    <xdr:pic>
      <xdr:nvPicPr>
        <xdr:cNvPr id="31" name="Entrada de lápiz 2">
          <a:extLst>
            <a:ext uri="{FF2B5EF4-FFF2-40B4-BE49-F238E27FC236}">
              <a16:creationId xmlns:a16="http://schemas.microsoft.com/office/drawing/2014/main" id="{43AE4C42-5F05-45BA-BC60-D81C3706DDC7}"/>
            </a:ext>
            <a:ext uri="{147F2762-F138-4A5C-976F-8EAC2B608ADB}">
              <a16:predDERef xmlns:a16="http://schemas.microsoft.com/office/drawing/2014/main" pred="{9E60D9E2-18A8-477D-822F-5322A2691926}"/>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19</xdr:row>
      <xdr:rowOff>759960</xdr:rowOff>
    </xdr:from>
    <xdr:to>
      <xdr:col>10</xdr:col>
      <xdr:colOff>44280</xdr:colOff>
      <xdr:row>19</xdr:row>
      <xdr:rowOff>771120</xdr:rowOff>
    </xdr:to>
    <xdr:pic>
      <xdr:nvPicPr>
        <xdr:cNvPr id="32" name="Entrada de lápiz 2">
          <a:extLst>
            <a:ext uri="{FF2B5EF4-FFF2-40B4-BE49-F238E27FC236}">
              <a16:creationId xmlns:a16="http://schemas.microsoft.com/office/drawing/2014/main" id="{21F593DC-232D-41BF-A32D-41F0A7FAC03B}"/>
            </a:ext>
            <a:ext uri="{147F2762-F138-4A5C-976F-8EAC2B608ADB}">
              <a16:predDERef xmlns:a16="http://schemas.microsoft.com/office/drawing/2014/main" pred="{43AE4C42-5F05-45BA-BC60-D81C3706DDC7}"/>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19</xdr:row>
      <xdr:rowOff>759960</xdr:rowOff>
    </xdr:from>
    <xdr:to>
      <xdr:col>10</xdr:col>
      <xdr:colOff>44280</xdr:colOff>
      <xdr:row>19</xdr:row>
      <xdr:rowOff>771120</xdr:rowOff>
    </xdr:to>
    <xdr:pic>
      <xdr:nvPicPr>
        <xdr:cNvPr id="33" name="Entrada de lápiz 2">
          <a:extLst>
            <a:ext uri="{FF2B5EF4-FFF2-40B4-BE49-F238E27FC236}">
              <a16:creationId xmlns:a16="http://schemas.microsoft.com/office/drawing/2014/main" id="{C16828D4-B1EB-4A63-93AB-B8C64DFB0C90}"/>
            </a:ext>
            <a:ext uri="{147F2762-F138-4A5C-976F-8EAC2B608ADB}">
              <a16:predDERef xmlns:a16="http://schemas.microsoft.com/office/drawing/2014/main" pred="{21F593DC-232D-41BF-A32D-41F0A7FAC03B}"/>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20</xdr:row>
      <xdr:rowOff>759960</xdr:rowOff>
    </xdr:from>
    <xdr:to>
      <xdr:col>10</xdr:col>
      <xdr:colOff>44280</xdr:colOff>
      <xdr:row>20</xdr:row>
      <xdr:rowOff>771120</xdr:rowOff>
    </xdr:to>
    <xdr:pic>
      <xdr:nvPicPr>
        <xdr:cNvPr id="34" name="Entrada de lápiz 2">
          <a:extLst>
            <a:ext uri="{FF2B5EF4-FFF2-40B4-BE49-F238E27FC236}">
              <a16:creationId xmlns:a16="http://schemas.microsoft.com/office/drawing/2014/main" id="{88EF52D9-D068-4159-B777-7500374D9356}"/>
            </a:ext>
            <a:ext uri="{147F2762-F138-4A5C-976F-8EAC2B608ADB}">
              <a16:predDERef xmlns:a16="http://schemas.microsoft.com/office/drawing/2014/main" pred="{C16828D4-B1EB-4A63-93AB-B8C64DFB0C90}"/>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20</xdr:row>
      <xdr:rowOff>759960</xdr:rowOff>
    </xdr:from>
    <xdr:to>
      <xdr:col>10</xdr:col>
      <xdr:colOff>44280</xdr:colOff>
      <xdr:row>20</xdr:row>
      <xdr:rowOff>771120</xdr:rowOff>
    </xdr:to>
    <xdr:pic>
      <xdr:nvPicPr>
        <xdr:cNvPr id="35" name="Entrada de lápiz 2">
          <a:extLst>
            <a:ext uri="{FF2B5EF4-FFF2-40B4-BE49-F238E27FC236}">
              <a16:creationId xmlns:a16="http://schemas.microsoft.com/office/drawing/2014/main" id="{40F6E790-B4D6-48A1-B66B-DABB8E68BB42}"/>
            </a:ext>
            <a:ext uri="{147F2762-F138-4A5C-976F-8EAC2B608ADB}">
              <a16:predDERef xmlns:a16="http://schemas.microsoft.com/office/drawing/2014/main" pred="{88EF52D9-D068-4159-B777-7500374D9356}"/>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21</xdr:row>
      <xdr:rowOff>759960</xdr:rowOff>
    </xdr:from>
    <xdr:to>
      <xdr:col>10</xdr:col>
      <xdr:colOff>44280</xdr:colOff>
      <xdr:row>21</xdr:row>
      <xdr:rowOff>771120</xdr:rowOff>
    </xdr:to>
    <xdr:pic>
      <xdr:nvPicPr>
        <xdr:cNvPr id="36" name="Entrada de lápiz 2">
          <a:extLst>
            <a:ext uri="{FF2B5EF4-FFF2-40B4-BE49-F238E27FC236}">
              <a16:creationId xmlns:a16="http://schemas.microsoft.com/office/drawing/2014/main" id="{809498F4-98CF-4CCD-A846-ED9AE4F254D5}"/>
            </a:ext>
            <a:ext uri="{147F2762-F138-4A5C-976F-8EAC2B608ADB}">
              <a16:predDERef xmlns:a16="http://schemas.microsoft.com/office/drawing/2014/main" pred="{40F6E790-B4D6-48A1-B66B-DABB8E68BB42}"/>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21</xdr:row>
      <xdr:rowOff>759960</xdr:rowOff>
    </xdr:from>
    <xdr:to>
      <xdr:col>10</xdr:col>
      <xdr:colOff>44280</xdr:colOff>
      <xdr:row>21</xdr:row>
      <xdr:rowOff>771120</xdr:rowOff>
    </xdr:to>
    <xdr:pic>
      <xdr:nvPicPr>
        <xdr:cNvPr id="37" name="Entrada de lápiz 2">
          <a:extLst>
            <a:ext uri="{FF2B5EF4-FFF2-40B4-BE49-F238E27FC236}">
              <a16:creationId xmlns:a16="http://schemas.microsoft.com/office/drawing/2014/main" id="{173DC7FE-0724-4C5B-A472-9946CBD88481}"/>
            </a:ext>
            <a:ext uri="{147F2762-F138-4A5C-976F-8EAC2B608ADB}">
              <a16:predDERef xmlns:a16="http://schemas.microsoft.com/office/drawing/2014/main" pred="{809498F4-98CF-4CCD-A846-ED9AE4F254D5}"/>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22</xdr:row>
      <xdr:rowOff>759960</xdr:rowOff>
    </xdr:from>
    <xdr:to>
      <xdr:col>10</xdr:col>
      <xdr:colOff>44280</xdr:colOff>
      <xdr:row>22</xdr:row>
      <xdr:rowOff>771120</xdr:rowOff>
    </xdr:to>
    <xdr:pic>
      <xdr:nvPicPr>
        <xdr:cNvPr id="38" name="Entrada de lápiz 2">
          <a:extLst>
            <a:ext uri="{FF2B5EF4-FFF2-40B4-BE49-F238E27FC236}">
              <a16:creationId xmlns:a16="http://schemas.microsoft.com/office/drawing/2014/main" id="{50D95389-7892-454B-993D-8210D886AC68}"/>
            </a:ext>
            <a:ext uri="{147F2762-F138-4A5C-976F-8EAC2B608ADB}">
              <a16:predDERef xmlns:a16="http://schemas.microsoft.com/office/drawing/2014/main" pred="{173DC7FE-0724-4C5B-A472-9946CBD88481}"/>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twoCellAnchor>
    <xdr:from>
      <xdr:col>10</xdr:col>
      <xdr:colOff>0</xdr:colOff>
      <xdr:row>22</xdr:row>
      <xdr:rowOff>759960</xdr:rowOff>
    </xdr:from>
    <xdr:to>
      <xdr:col>10</xdr:col>
      <xdr:colOff>44280</xdr:colOff>
      <xdr:row>22</xdr:row>
      <xdr:rowOff>771120</xdr:rowOff>
    </xdr:to>
    <xdr:pic>
      <xdr:nvPicPr>
        <xdr:cNvPr id="39" name="Entrada de lápiz 2">
          <a:extLst>
            <a:ext uri="{FF2B5EF4-FFF2-40B4-BE49-F238E27FC236}">
              <a16:creationId xmlns:a16="http://schemas.microsoft.com/office/drawing/2014/main" id="{74AA611D-64E9-49D5-A739-45B864AD3D08}"/>
            </a:ext>
            <a:ext uri="{147F2762-F138-4A5C-976F-8EAC2B608ADB}">
              <a16:predDERef xmlns:a16="http://schemas.microsoft.com/office/drawing/2014/main" pred="{50D95389-7892-454B-993D-8210D886AC68}"/>
            </a:ext>
          </a:extLst>
        </xdr:cNvPr>
        <xdr:cNvPicPr/>
      </xdr:nvPicPr>
      <xdr:blipFill>
        <a:blip xmlns:r="http://schemas.openxmlformats.org/officeDocument/2006/relationships" r:embed="rId1"/>
        <a:stretch/>
      </xdr:blipFill>
      <xdr:spPr>
        <a:xfrm>
          <a:off x="17202150" y="18038310"/>
          <a:ext cx="44280" cy="111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zoomScale="70" zoomScaleNormal="70" workbookViewId="0">
      <selection activeCell="G3" sqref="G3"/>
    </sheetView>
  </sheetViews>
  <sheetFormatPr baseColWidth="10" defaultColWidth="9" defaultRowHeight="15" customHeight="1" x14ac:dyDescent="0.3"/>
  <cols>
    <col min="1" max="1" width="24.5546875" customWidth="1"/>
    <col min="2" max="2" width="37.109375" customWidth="1"/>
    <col min="3" max="3" width="36" customWidth="1"/>
    <col min="4" max="4" width="12.109375" customWidth="1"/>
    <col min="5" max="5" width="36" customWidth="1"/>
    <col min="6" max="6" width="14.44140625" customWidth="1"/>
    <col min="7" max="7" width="36" customWidth="1"/>
    <col min="8" max="8" width="11.5546875" customWidth="1"/>
    <col min="9" max="9" width="37" customWidth="1"/>
    <col min="10" max="10" width="13.109375" customWidth="1"/>
    <col min="11" max="11" width="61.88671875" customWidth="1"/>
  </cols>
  <sheetData>
    <row r="1" spans="1:12" ht="13.65" customHeight="1" x14ac:dyDescent="0.3">
      <c r="A1" s="24" t="s">
        <v>0</v>
      </c>
      <c r="B1" s="24"/>
      <c r="C1" s="26"/>
      <c r="D1" s="26"/>
      <c r="E1" s="26"/>
      <c r="F1" s="26"/>
      <c r="G1" s="26"/>
      <c r="H1" s="1"/>
      <c r="I1" s="1"/>
      <c r="J1" s="1"/>
      <c r="K1" s="27" t="s">
        <v>1</v>
      </c>
    </row>
    <row r="2" spans="1:12" ht="44.25" customHeight="1" x14ac:dyDescent="0.3">
      <c r="A2" s="25"/>
      <c r="B2" s="25"/>
      <c r="C2" s="29" t="s">
        <v>2</v>
      </c>
      <c r="D2" s="30"/>
      <c r="E2" s="29" t="s">
        <v>3</v>
      </c>
      <c r="F2" s="30"/>
      <c r="G2" s="29" t="s">
        <v>4</v>
      </c>
      <c r="H2" s="30"/>
      <c r="I2" s="2" t="s">
        <v>5</v>
      </c>
      <c r="J2" s="2"/>
      <c r="K2" s="27"/>
    </row>
    <row r="3" spans="1:12" ht="104.25" customHeight="1" x14ac:dyDescent="0.3">
      <c r="A3" s="28"/>
      <c r="B3" s="3" t="s">
        <v>8</v>
      </c>
      <c r="C3" s="4" t="s">
        <v>6</v>
      </c>
      <c r="D3" s="5">
        <v>-10</v>
      </c>
      <c r="E3" s="4" t="s">
        <v>7</v>
      </c>
      <c r="F3" s="5">
        <v>-10</v>
      </c>
      <c r="G3" s="4" t="s">
        <v>9</v>
      </c>
      <c r="H3" s="5">
        <v>-1</v>
      </c>
      <c r="I3" s="4" t="s">
        <v>10</v>
      </c>
      <c r="J3" s="5">
        <v>0</v>
      </c>
      <c r="K3" s="9"/>
    </row>
    <row r="4" spans="1:12" ht="104.25" customHeight="1" x14ac:dyDescent="0.3">
      <c r="A4" s="28"/>
      <c r="B4" s="3" t="s">
        <v>11</v>
      </c>
      <c r="C4" s="13" t="s">
        <v>12</v>
      </c>
      <c r="D4" s="14">
        <v>-10</v>
      </c>
      <c r="E4" s="13" t="s">
        <v>13</v>
      </c>
      <c r="F4" s="14">
        <f>D4*2/3</f>
        <v>-6.666666666666667</v>
      </c>
      <c r="G4" s="13" t="s">
        <v>14</v>
      </c>
      <c r="H4" s="14">
        <f>D4/3</f>
        <v>-3.3333333333333335</v>
      </c>
      <c r="I4" s="13" t="s">
        <v>15</v>
      </c>
      <c r="J4" s="15">
        <v>0</v>
      </c>
      <c r="K4" s="8"/>
      <c r="L4" s="7"/>
    </row>
    <row r="5" spans="1:12" ht="104.25" customHeight="1" x14ac:dyDescent="0.3">
      <c r="A5" s="22" t="s">
        <v>16</v>
      </c>
      <c r="B5" s="3" t="s">
        <v>17</v>
      </c>
      <c r="C5" s="13" t="s">
        <v>18</v>
      </c>
      <c r="D5" s="5">
        <v>0</v>
      </c>
      <c r="E5" s="13" t="s">
        <v>19</v>
      </c>
      <c r="F5" s="5">
        <f>J5/3</f>
        <v>0.1111111111111111</v>
      </c>
      <c r="G5" s="13" t="s">
        <v>20</v>
      </c>
      <c r="H5" s="5">
        <f>J5*2/3</f>
        <v>0.22222222222222221</v>
      </c>
      <c r="I5" s="13" t="s">
        <v>21</v>
      </c>
      <c r="J5" s="5">
        <v>0.33333333333333331</v>
      </c>
      <c r="K5" s="10"/>
    </row>
    <row r="6" spans="1:12" ht="104.25" customHeight="1" x14ac:dyDescent="0.3">
      <c r="A6" s="23"/>
      <c r="B6" s="3" t="s">
        <v>22</v>
      </c>
      <c r="C6" s="13" t="s">
        <v>23</v>
      </c>
      <c r="D6" s="5">
        <v>0</v>
      </c>
      <c r="E6" s="13" t="s">
        <v>24</v>
      </c>
      <c r="F6" s="5">
        <f t="shared" ref="F6:F23" si="0">J6/3</f>
        <v>0.22222222222222221</v>
      </c>
      <c r="G6" s="13" t="s">
        <v>25</v>
      </c>
      <c r="H6" s="5">
        <f t="shared" ref="H6:H23" si="1">J6*2/3</f>
        <v>0.44444444444444442</v>
      </c>
      <c r="I6" s="13" t="s">
        <v>26</v>
      </c>
      <c r="J6" s="5">
        <v>0.66666666666666663</v>
      </c>
      <c r="K6" s="4"/>
    </row>
    <row r="7" spans="1:12" ht="104.25" customHeight="1" x14ac:dyDescent="0.3">
      <c r="A7" s="16" t="s">
        <v>27</v>
      </c>
      <c r="B7" s="3" t="s">
        <v>28</v>
      </c>
      <c r="C7" s="13" t="s">
        <v>29</v>
      </c>
      <c r="D7" s="5">
        <v>0</v>
      </c>
      <c r="E7" s="13" t="s">
        <v>30</v>
      </c>
      <c r="F7" s="5">
        <f t="shared" si="0"/>
        <v>8.3333333333333329E-2</v>
      </c>
      <c r="G7" s="13" t="s">
        <v>7</v>
      </c>
      <c r="H7" s="5">
        <f t="shared" si="1"/>
        <v>0.16666666666666666</v>
      </c>
      <c r="I7" s="13" t="s">
        <v>31</v>
      </c>
      <c r="J7" s="5">
        <v>0.25</v>
      </c>
      <c r="K7" s="6"/>
    </row>
    <row r="8" spans="1:12" ht="104.25" customHeight="1" x14ac:dyDescent="0.3">
      <c r="A8" s="17"/>
      <c r="B8" s="3" t="s">
        <v>32</v>
      </c>
      <c r="C8" s="13" t="s">
        <v>23</v>
      </c>
      <c r="D8" s="5">
        <v>0</v>
      </c>
      <c r="E8" s="13" t="s">
        <v>33</v>
      </c>
      <c r="F8" s="5">
        <f t="shared" si="0"/>
        <v>0.16666666666666666</v>
      </c>
      <c r="G8" s="13" t="s">
        <v>34</v>
      </c>
      <c r="H8" s="5">
        <f t="shared" si="1"/>
        <v>0.33333333333333331</v>
      </c>
      <c r="I8" s="13" t="s">
        <v>35</v>
      </c>
      <c r="J8" s="5">
        <v>0.5</v>
      </c>
      <c r="K8" s="6"/>
    </row>
    <row r="9" spans="1:12" ht="104.25" customHeight="1" x14ac:dyDescent="0.3">
      <c r="A9" s="18"/>
      <c r="B9" s="3" t="s">
        <v>36</v>
      </c>
      <c r="C9" s="13" t="s">
        <v>23</v>
      </c>
      <c r="D9" s="5">
        <v>0</v>
      </c>
      <c r="E9" s="13" t="s">
        <v>33</v>
      </c>
      <c r="F9" s="5">
        <f t="shared" si="0"/>
        <v>8.3333333333333329E-2</v>
      </c>
      <c r="G9" s="13" t="s">
        <v>34</v>
      </c>
      <c r="H9" s="5">
        <f t="shared" si="1"/>
        <v>0.16666666666666666</v>
      </c>
      <c r="I9" s="13" t="s">
        <v>35</v>
      </c>
      <c r="J9" s="5">
        <v>0.25</v>
      </c>
      <c r="K9" s="6"/>
    </row>
    <row r="10" spans="1:12" ht="104.25" customHeight="1" x14ac:dyDescent="0.3">
      <c r="A10" s="16" t="s">
        <v>37</v>
      </c>
      <c r="B10" s="3" t="s">
        <v>38</v>
      </c>
      <c r="C10" s="13" t="s">
        <v>39</v>
      </c>
      <c r="D10" s="5">
        <v>0</v>
      </c>
      <c r="E10" s="13" t="s">
        <v>40</v>
      </c>
      <c r="F10" s="5">
        <f t="shared" si="0"/>
        <v>0.1111111111111111</v>
      </c>
      <c r="G10" s="13" t="s">
        <v>41</v>
      </c>
      <c r="H10" s="5">
        <f t="shared" si="1"/>
        <v>0.22222222222222221</v>
      </c>
      <c r="I10" s="13" t="s">
        <v>42</v>
      </c>
      <c r="J10" s="5">
        <v>0.33333333333333331</v>
      </c>
      <c r="K10" s="6"/>
    </row>
    <row r="11" spans="1:12" ht="104.25" customHeight="1" x14ac:dyDescent="0.3">
      <c r="A11" s="17"/>
      <c r="B11" s="3" t="s">
        <v>43</v>
      </c>
      <c r="C11" s="13" t="s">
        <v>39</v>
      </c>
      <c r="D11" s="5">
        <v>0</v>
      </c>
      <c r="E11" s="13" t="s">
        <v>40</v>
      </c>
      <c r="F11" s="5">
        <f t="shared" si="0"/>
        <v>0.1111111111111111</v>
      </c>
      <c r="G11" s="13" t="s">
        <v>41</v>
      </c>
      <c r="H11" s="5">
        <f t="shared" si="1"/>
        <v>0.22222222222222221</v>
      </c>
      <c r="I11" s="13" t="s">
        <v>42</v>
      </c>
      <c r="J11" s="5">
        <v>0.33333333333333331</v>
      </c>
      <c r="K11" s="6"/>
    </row>
    <row r="12" spans="1:12" ht="104.25" customHeight="1" x14ac:dyDescent="0.3">
      <c r="A12" s="18"/>
      <c r="B12" s="3" t="s">
        <v>44</v>
      </c>
      <c r="C12" s="13" t="s">
        <v>39</v>
      </c>
      <c r="D12" s="5">
        <v>0</v>
      </c>
      <c r="E12" s="13" t="s">
        <v>40</v>
      </c>
      <c r="F12" s="5">
        <f t="shared" si="0"/>
        <v>0.1111111111111111</v>
      </c>
      <c r="G12" s="13" t="s">
        <v>45</v>
      </c>
      <c r="H12" s="5">
        <f t="shared" si="1"/>
        <v>0.22222222222222221</v>
      </c>
      <c r="I12" s="13" t="s">
        <v>46</v>
      </c>
      <c r="J12" s="5">
        <v>0.33333333333333331</v>
      </c>
      <c r="K12" s="6"/>
    </row>
    <row r="13" spans="1:12" ht="156" customHeight="1" x14ac:dyDescent="0.3">
      <c r="A13" s="11" t="s">
        <v>47</v>
      </c>
      <c r="B13" s="3" t="s">
        <v>48</v>
      </c>
      <c r="C13" s="13" t="s">
        <v>39</v>
      </c>
      <c r="D13" s="5">
        <v>0</v>
      </c>
      <c r="E13" s="13" t="s">
        <v>49</v>
      </c>
      <c r="F13" s="5">
        <f t="shared" si="0"/>
        <v>0.33333333333333331</v>
      </c>
      <c r="G13" s="13" t="s">
        <v>50</v>
      </c>
      <c r="H13" s="5">
        <f t="shared" si="1"/>
        <v>0.66666666666666663</v>
      </c>
      <c r="I13" s="13" t="s">
        <v>51</v>
      </c>
      <c r="J13" s="5">
        <v>1</v>
      </c>
      <c r="K13" s="6"/>
    </row>
    <row r="14" spans="1:12" ht="104.25" customHeight="1" x14ac:dyDescent="0.3">
      <c r="A14" s="19" t="s">
        <v>52</v>
      </c>
      <c r="B14" s="3" t="s">
        <v>53</v>
      </c>
      <c r="C14" s="13" t="s">
        <v>39</v>
      </c>
      <c r="D14" s="5">
        <v>0</v>
      </c>
      <c r="E14" s="13" t="s">
        <v>54</v>
      </c>
      <c r="F14" s="5">
        <f t="shared" si="0"/>
        <v>0.22222222222222221</v>
      </c>
      <c r="G14" s="13" t="s">
        <v>55</v>
      </c>
      <c r="H14" s="5">
        <f t="shared" si="1"/>
        <v>0.44444444444444442</v>
      </c>
      <c r="I14" s="13" t="s">
        <v>56</v>
      </c>
      <c r="J14" s="5">
        <v>0.66666666666666663</v>
      </c>
      <c r="K14" s="6"/>
    </row>
    <row r="15" spans="1:12" ht="104.25" customHeight="1" x14ac:dyDescent="0.3">
      <c r="A15" s="20"/>
      <c r="B15" s="3" t="s">
        <v>57</v>
      </c>
      <c r="C15" s="13" t="s">
        <v>39</v>
      </c>
      <c r="D15" s="5">
        <v>0</v>
      </c>
      <c r="E15" s="13" t="s">
        <v>54</v>
      </c>
      <c r="F15" s="5">
        <f t="shared" si="0"/>
        <v>0.1111111111111111</v>
      </c>
      <c r="G15" s="13" t="s">
        <v>55</v>
      </c>
      <c r="H15" s="5">
        <f t="shared" si="1"/>
        <v>0.22222222222222221</v>
      </c>
      <c r="I15" s="13" t="s">
        <v>56</v>
      </c>
      <c r="J15" s="5">
        <v>0.33333333333333331</v>
      </c>
      <c r="K15" s="6"/>
    </row>
    <row r="16" spans="1:12" ht="104.25" customHeight="1" x14ac:dyDescent="0.3">
      <c r="A16" s="19" t="s">
        <v>58</v>
      </c>
      <c r="B16" s="3" t="s">
        <v>59</v>
      </c>
      <c r="C16" s="13" t="s">
        <v>60</v>
      </c>
      <c r="D16" s="5">
        <v>0</v>
      </c>
      <c r="E16" s="13" t="s">
        <v>7</v>
      </c>
      <c r="F16" s="5">
        <f t="shared" si="0"/>
        <v>0.125</v>
      </c>
      <c r="G16" s="13" t="s">
        <v>7</v>
      </c>
      <c r="H16" s="5">
        <f t="shared" si="1"/>
        <v>0.25</v>
      </c>
      <c r="I16" s="13" t="s">
        <v>61</v>
      </c>
      <c r="J16" s="5">
        <v>0.375</v>
      </c>
      <c r="K16" s="6"/>
    </row>
    <row r="17" spans="1:11" ht="104.25" customHeight="1" x14ac:dyDescent="0.3">
      <c r="A17" s="21"/>
      <c r="B17" s="3" t="s">
        <v>62</v>
      </c>
      <c r="C17" s="13" t="s">
        <v>39</v>
      </c>
      <c r="D17" s="5">
        <v>0</v>
      </c>
      <c r="E17" s="13" t="s">
        <v>63</v>
      </c>
      <c r="F17" s="5">
        <f t="shared" si="0"/>
        <v>0.125</v>
      </c>
      <c r="G17" s="13" t="s">
        <v>64</v>
      </c>
      <c r="H17" s="5">
        <f t="shared" si="1"/>
        <v>0.25</v>
      </c>
      <c r="I17" s="13" t="s">
        <v>65</v>
      </c>
      <c r="J17" s="5">
        <v>0.375</v>
      </c>
      <c r="K17" s="6"/>
    </row>
    <row r="18" spans="1:11" ht="104.25" customHeight="1" x14ac:dyDescent="0.3">
      <c r="A18" s="20"/>
      <c r="B18" s="3" t="s">
        <v>66</v>
      </c>
      <c r="C18" s="13" t="s">
        <v>67</v>
      </c>
      <c r="D18" s="5">
        <v>0</v>
      </c>
      <c r="E18" s="13" t="s">
        <v>63</v>
      </c>
      <c r="F18" s="5">
        <f t="shared" si="0"/>
        <v>0.25</v>
      </c>
      <c r="G18" s="13" t="s">
        <v>64</v>
      </c>
      <c r="H18" s="5">
        <f t="shared" si="1"/>
        <v>0.5</v>
      </c>
      <c r="I18" s="13" t="s">
        <v>65</v>
      </c>
      <c r="J18" s="5">
        <v>0.75</v>
      </c>
      <c r="K18" s="6"/>
    </row>
    <row r="19" spans="1:11" ht="104.25" customHeight="1" x14ac:dyDescent="0.3">
      <c r="A19" s="19" t="s">
        <v>68</v>
      </c>
      <c r="B19" s="3" t="s">
        <v>69</v>
      </c>
      <c r="C19" s="13" t="s">
        <v>39</v>
      </c>
      <c r="D19" s="5">
        <v>0</v>
      </c>
      <c r="E19" s="13" t="s">
        <v>63</v>
      </c>
      <c r="F19" s="5">
        <f t="shared" si="0"/>
        <v>8.3333333333333329E-2</v>
      </c>
      <c r="G19" s="13" t="s">
        <v>64</v>
      </c>
      <c r="H19" s="5">
        <f t="shared" si="1"/>
        <v>0.16666666666666666</v>
      </c>
      <c r="I19" s="13" t="s">
        <v>65</v>
      </c>
      <c r="J19" s="5">
        <v>0.25</v>
      </c>
      <c r="K19" s="6"/>
    </row>
    <row r="20" spans="1:11" ht="104.25" customHeight="1" x14ac:dyDescent="0.3">
      <c r="A20" s="21"/>
      <c r="B20" s="3" t="s">
        <v>62</v>
      </c>
      <c r="C20" s="13" t="s">
        <v>39</v>
      </c>
      <c r="D20" s="5">
        <v>0</v>
      </c>
      <c r="E20" s="13" t="s">
        <v>63</v>
      </c>
      <c r="F20" s="5">
        <f t="shared" si="0"/>
        <v>8.3333333333333329E-2</v>
      </c>
      <c r="G20" s="13" t="s">
        <v>64</v>
      </c>
      <c r="H20" s="5">
        <f t="shared" si="1"/>
        <v>0.16666666666666666</v>
      </c>
      <c r="I20" s="13" t="s">
        <v>65</v>
      </c>
      <c r="J20" s="5">
        <v>0.25</v>
      </c>
      <c r="K20" s="6"/>
    </row>
    <row r="21" spans="1:11" ht="104.25" customHeight="1" x14ac:dyDescent="0.3">
      <c r="A21" s="20"/>
      <c r="B21" s="3" t="s">
        <v>66</v>
      </c>
      <c r="C21" s="13" t="s">
        <v>67</v>
      </c>
      <c r="D21" s="5">
        <v>0</v>
      </c>
      <c r="E21" s="13" t="s">
        <v>63</v>
      </c>
      <c r="F21" s="5">
        <f t="shared" si="0"/>
        <v>0.16666666666666666</v>
      </c>
      <c r="G21" s="13" t="s">
        <v>64</v>
      </c>
      <c r="H21" s="5">
        <f t="shared" si="1"/>
        <v>0.33333333333333331</v>
      </c>
      <c r="I21" s="13" t="s">
        <v>65</v>
      </c>
      <c r="J21" s="5">
        <v>0.5</v>
      </c>
      <c r="K21" s="6"/>
    </row>
    <row r="22" spans="1:11" ht="104.25" customHeight="1" x14ac:dyDescent="0.3">
      <c r="A22" s="3" t="s">
        <v>70</v>
      </c>
      <c r="B22" s="3" t="s">
        <v>71</v>
      </c>
      <c r="C22" s="13" t="s">
        <v>72</v>
      </c>
      <c r="D22" s="5">
        <v>0</v>
      </c>
      <c r="E22" s="13" t="s">
        <v>73</v>
      </c>
      <c r="F22" s="5">
        <f t="shared" si="0"/>
        <v>0.5</v>
      </c>
      <c r="G22" s="13" t="s">
        <v>74</v>
      </c>
      <c r="H22" s="5">
        <f t="shared" si="1"/>
        <v>1</v>
      </c>
      <c r="I22" s="13" t="s">
        <v>75</v>
      </c>
      <c r="J22" s="5">
        <v>1.5</v>
      </c>
      <c r="K22" s="6"/>
    </row>
    <row r="23" spans="1:11" ht="104.25" customHeight="1" x14ac:dyDescent="0.3">
      <c r="A23" s="3" t="s">
        <v>76</v>
      </c>
      <c r="B23" s="3" t="s">
        <v>77</v>
      </c>
      <c r="C23" s="13" t="s">
        <v>72</v>
      </c>
      <c r="D23" s="5">
        <v>0</v>
      </c>
      <c r="E23" s="13" t="s">
        <v>78</v>
      </c>
      <c r="F23" s="5">
        <f t="shared" si="0"/>
        <v>0.33333333333333331</v>
      </c>
      <c r="G23" s="13" t="s">
        <v>79</v>
      </c>
      <c r="H23" s="5">
        <f t="shared" si="1"/>
        <v>0.66666666666666663</v>
      </c>
      <c r="I23" s="13" t="s">
        <v>75</v>
      </c>
      <c r="J23" s="5">
        <v>1</v>
      </c>
      <c r="K23" s="6"/>
    </row>
    <row r="24" spans="1:11" ht="14.4" x14ac:dyDescent="0.3">
      <c r="J24" s="12">
        <f>SUM(J5:J23)</f>
        <v>10</v>
      </c>
    </row>
  </sheetData>
  <mergeCells count="13">
    <mergeCell ref="A5:A6"/>
    <mergeCell ref="A1:B2"/>
    <mergeCell ref="C1:G1"/>
    <mergeCell ref="K1:K2"/>
    <mergeCell ref="A3:A4"/>
    <mergeCell ref="C2:D2"/>
    <mergeCell ref="E2:F2"/>
    <mergeCell ref="G2:H2"/>
    <mergeCell ref="A7:A9"/>
    <mergeCell ref="A10:A12"/>
    <mergeCell ref="A14:A15"/>
    <mergeCell ref="A16:A18"/>
    <mergeCell ref="A19:A21"/>
  </mergeCells>
  <conditionalFormatting sqref="C5:C23 E3:F3">
    <cfRule type="expression" dxfId="28" priority="12">
      <formula>(#REF!&lt;&gt;$E$2)</formula>
    </cfRule>
  </conditionalFormatting>
  <conditionalFormatting sqref="C4:E4">
    <cfRule type="expression" dxfId="27" priority="22">
      <formula>(#REF!=$E$2)</formula>
    </cfRule>
    <cfRule type="expression" dxfId="26" priority="23">
      <formula>(#REF!&lt;&gt;$E$2)</formula>
    </cfRule>
  </conditionalFormatting>
  <conditionalFormatting sqref="C3:F3 D5:D23 F5:F23">
    <cfRule type="expression" dxfId="25" priority="48">
      <formula>(#REF!=$C$2)</formula>
    </cfRule>
    <cfRule type="expression" dxfId="24" priority="49">
      <formula>(#REF!&lt;&gt;$C$2)</formula>
    </cfRule>
  </conditionalFormatting>
  <conditionalFormatting sqref="C4:F23">
    <cfRule type="expression" dxfId="23" priority="7">
      <formula>(#REF!="")</formula>
    </cfRule>
  </conditionalFormatting>
  <conditionalFormatting sqref="C3:K3">
    <cfRule type="expression" dxfId="22" priority="47">
      <formula>(#REF!="")</formula>
    </cfRule>
  </conditionalFormatting>
  <conditionalFormatting sqref="E3">
    <cfRule type="expression" dxfId="21" priority="14">
      <formula>(#REF!&lt;&gt;$G$2)</formula>
    </cfRule>
  </conditionalFormatting>
  <conditionalFormatting sqref="E3:E4">
    <cfRule type="expression" dxfId="20" priority="13">
      <formula>(#REF!=$G$2)</formula>
    </cfRule>
  </conditionalFormatting>
  <conditionalFormatting sqref="E3:F3 C5:C23">
    <cfRule type="expression" dxfId="19" priority="11">
      <formula>(#REF!=$E$2)</formula>
    </cfRule>
  </conditionalFormatting>
  <conditionalFormatting sqref="E4:F4">
    <cfRule type="expression" dxfId="18" priority="20">
      <formula>(#REF!&lt;&gt;$G$2)</formula>
    </cfRule>
  </conditionalFormatting>
  <conditionalFormatting sqref="E5:F23">
    <cfRule type="expression" dxfId="17" priority="9">
      <formula>(#REF!&lt;&gt;$E$2)</formula>
    </cfRule>
  </conditionalFormatting>
  <conditionalFormatting sqref="E5:G23">
    <cfRule type="expression" dxfId="16" priority="5">
      <formula>(#REF!=$E$2)</formula>
    </cfRule>
  </conditionalFormatting>
  <conditionalFormatting sqref="F4">
    <cfRule type="expression" dxfId="15" priority="19">
      <formula>(#REF!=$G$2)</formula>
    </cfRule>
  </conditionalFormatting>
  <conditionalFormatting sqref="G4 I4:J4">
    <cfRule type="expression" dxfId="14" priority="26">
      <formula>(#REF!=$I$2)</formula>
    </cfRule>
    <cfRule type="expression" dxfId="13" priority="27">
      <formula>(#REF!&lt;&gt;$I$2)</formula>
    </cfRule>
  </conditionalFormatting>
  <conditionalFormatting sqref="G5:G23">
    <cfRule type="expression" dxfId="12" priority="4">
      <formula>(#REF!="")</formula>
    </cfRule>
    <cfRule type="expression" dxfId="11" priority="6">
      <formula>(#REF!&lt;&gt;$E$2)</formula>
    </cfRule>
  </conditionalFormatting>
  <conditionalFormatting sqref="G4:J4">
    <cfRule type="expression" dxfId="10" priority="15">
      <formula>(#REF!="")</formula>
    </cfRule>
  </conditionalFormatting>
  <conditionalFormatting sqref="G3:K3 J5:J23">
    <cfRule type="expression" dxfId="9" priority="52">
      <formula>(#REF!=$G$2)</formula>
    </cfRule>
    <cfRule type="expression" dxfId="8" priority="53">
      <formula>(#REF!&lt;&gt;$G$2)</formula>
    </cfRule>
  </conditionalFormatting>
  <conditionalFormatting sqref="H4">
    <cfRule type="expression" dxfId="7" priority="16">
      <formula>(#REF!=$G$2)</formula>
    </cfRule>
    <cfRule type="expression" dxfId="6" priority="17">
      <formula>(#REF!&lt;&gt;$G$2)</formula>
    </cfRule>
  </conditionalFormatting>
  <conditionalFormatting sqref="I5:I23">
    <cfRule type="expression" dxfId="5" priority="2">
      <formula>(#REF!=$E$2)</formula>
    </cfRule>
    <cfRule type="expression" dxfId="4" priority="3">
      <formula>(#REF!&lt;&gt;$E$2)</formula>
    </cfRule>
  </conditionalFormatting>
  <conditionalFormatting sqref="I5:J23">
    <cfRule type="expression" dxfId="3" priority="1">
      <formula>(#REF!="")</formula>
    </cfRule>
  </conditionalFormatting>
  <conditionalFormatting sqref="L4">
    <cfRule type="expression" dxfId="2" priority="32">
      <formula>(#REF!="")</formula>
    </cfRule>
    <cfRule type="expression" dxfId="1" priority="37">
      <formula>(#REF!=$I$2)</formula>
    </cfRule>
    <cfRule type="expression" dxfId="0" priority="38">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2" ma:contentTypeDescription="Create a new document." ma:contentTypeScope="" ma:versionID="78a06972555a2d6eafd9a70d64531e57">
  <xsd:schema xmlns:xsd="http://www.w3.org/2001/XMLSchema" xmlns:xs="http://www.w3.org/2001/XMLSchema" xmlns:p="http://schemas.microsoft.com/office/2006/metadata/properties" xmlns:ns2="3cd1332b-2be7-40f1-9770-624e28d36e12" targetNamespace="http://schemas.microsoft.com/office/2006/metadata/properties" ma:root="true" ma:fieldsID="f920e7f3a07a28339a7d0afed969e474"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21CEFC-D76D-4671-B272-6BF91F4FC426}">
  <ds:schemaRefs>
    <ds:schemaRef ds:uri="http://schemas.microsoft.com/sharepoint/v3/contenttype/forms"/>
  </ds:schemaRefs>
</ds:datastoreItem>
</file>

<file path=customXml/itemProps2.xml><?xml version="1.0" encoding="utf-8"?>
<ds:datastoreItem xmlns:ds="http://schemas.openxmlformats.org/officeDocument/2006/customXml" ds:itemID="{0079ECF5-C46C-4486-9882-9A04189D1A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d1332b-2be7-40f1-9770-624e28d36e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E38524-9CB5-47A0-83C1-C5E2690A601D}">
  <ds:schemaRefs>
    <ds:schemaRef ds:uri="http://schemas.microsoft.com/office/2006/metadata/properties"/>
    <ds:schemaRef ds:uri="http://schemas.microsoft.com/office/infopath/2007/PartnerControls"/>
    <ds:schemaRef ds:uri="3cd1332b-2be7-40f1-9770-624e28d36e12"/>
  </ds:schemaRefs>
</ds:datastoreItem>
</file>

<file path=docMetadata/LabelInfo.xml><?xml version="1.0" encoding="utf-8"?>
<clbl:labelList xmlns:clbl="http://schemas.microsoft.com/office/2020/mipLabelMetadata">
  <clbl:label id="{0361ecad-3f61-4749-aa5c-87fde47ef9ad}" enabled="1" method="Privileged" siteId="{22c8b4a4-d926-43b2-bcc7-87b998590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1</vt:i4>
      </vt:variant>
    </vt:vector>
  </HeadingPairs>
  <TitlesOfParts>
    <vt:vector size="1" baseType="lpstr">
      <vt:lpstr>Rúbrica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Alba García Sanz</cp:lastModifiedBy>
  <cp:revision>1</cp:revision>
  <dcterms:created xsi:type="dcterms:W3CDTF">2015-06-05T18:19:34Z</dcterms:created>
  <dcterms:modified xsi:type="dcterms:W3CDTF">2026-02-18T12:28:35Z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